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Control" sheetId="1" r:id="rId4"/>
    <sheet state="visible" name="Ownership Matrix" sheetId="2" r:id="rId5"/>
    <sheet state="visible" name="RACI" sheetId="3" r:id="rId6"/>
    <sheet state="visible" name="Review Calendar" sheetId="4" r:id="rId7"/>
    <sheet state="visible" name="Owner Summary" sheetId="5" r:id="rId8"/>
    <sheet state="visible" name="Lists" sheetId="6" r:id="rId9"/>
  </sheets>
  <definedNames/>
  <calcPr/>
  <extLst>
    <ext uri="GoogleSheetsCustomDataVersion2">
      <go:sheetsCustomData xmlns:go="http://customooxmlschemas.google.com/" r:id="rId10" roundtripDataChecksum="PDS1WPXJ7jdZaTYZyrJxBVyiw7iTuoisC5Byeorcx78="/>
    </ext>
  </extLst>
</workbook>
</file>

<file path=xl/sharedStrings.xml><?xml version="1.0" encoding="utf-8"?>
<sst xmlns="http://schemas.openxmlformats.org/spreadsheetml/2006/main" count="1469" uniqueCount="331">
  <si>
    <t>BlueSea Foods</t>
  </si>
  <si>
    <t>BSF-INV-002 - Document Ownership Matrix</t>
  </si>
  <si>
    <t>Next Review Date</t>
  </si>
  <si>
    <t>Role</t>
  </si>
  <si>
    <t>Document Code</t>
  </si>
  <si>
    <t>Document Title</t>
  </si>
  <si>
    <t>Create / Draft</t>
  </si>
  <si>
    <t>Ownership governance workbook | Version 1.0</t>
  </si>
  <si>
    <t>Business Area</t>
  </si>
  <si>
    <t>Technical Review</t>
  </si>
  <si>
    <t>Category</t>
  </si>
  <si>
    <t>Final Approval</t>
  </si>
  <si>
    <t>Format</t>
  </si>
  <si>
    <t>Publish / Version</t>
  </si>
  <si>
    <t>Document Status</t>
  </si>
  <si>
    <t>RAG Metadata</t>
  </si>
  <si>
    <t>Accountable Owner</t>
  </si>
  <si>
    <t>Access Control</t>
  </si>
  <si>
    <t>Backup Owner</t>
  </si>
  <si>
    <t>Overdue Escalation</t>
  </si>
  <si>
    <t>Criticality</t>
  </si>
  <si>
    <t>Primary Reviewer</t>
  </si>
  <si>
    <t>Document Control Specialist</t>
  </si>
  <si>
    <t>Final Approver</t>
  </si>
  <si>
    <t>Review Frequency</t>
  </si>
  <si>
    <t>Due Month</t>
  </si>
  <si>
    <t>Review Status</t>
  </si>
  <si>
    <t>Escalation Owner</t>
  </si>
  <si>
    <t>Field</t>
  </si>
  <si>
    <t>R</t>
  </si>
  <si>
    <t>2027-07-21</t>
  </si>
  <si>
    <t>C</t>
  </si>
  <si>
    <t>Consulted Role</t>
  </si>
  <si>
    <t>Value</t>
  </si>
  <si>
    <t>A</t>
  </si>
  <si>
    <t>Informed Audience</t>
  </si>
  <si>
    <t>BSF-CORP-001</t>
  </si>
  <si>
    <t>Confidentiality</t>
  </si>
  <si>
    <t>Corporate Profile</t>
  </si>
  <si>
    <t>Access Level</t>
  </si>
  <si>
    <t>Corporate</t>
  </si>
  <si>
    <t>Corporate Affairs Manager</t>
  </si>
  <si>
    <t>High</t>
  </si>
  <si>
    <t>A/R</t>
  </si>
  <si>
    <t>Annual</t>
  </si>
  <si>
    <t>RAG Priority</t>
  </si>
  <si>
    <t>Jul 2027</t>
  </si>
  <si>
    <t>Metadata Status</t>
  </si>
  <si>
    <t>Scheduled</t>
  </si>
  <si>
    <t>BSF-INV-002</t>
  </si>
  <si>
    <t>General Manager</t>
  </si>
  <si>
    <t>Ownership Status</t>
  </si>
  <si>
    <t>Related Documents</t>
  </si>
  <si>
    <t>Notes</t>
  </si>
  <si>
    <t>BSF-CORP-002</t>
  </si>
  <si>
    <t>Corporate Glossary</t>
  </si>
  <si>
    <t>Document Ownership Matrix</t>
  </si>
  <si>
    <t>Corporate reference</t>
  </si>
  <si>
    <t>I</t>
  </si>
  <si>
    <t>PDF</t>
  </si>
  <si>
    <t>Planned</t>
  </si>
  <si>
    <t>Document Control</t>
  </si>
  <si>
    <t>BSF-DOC-STD-001</t>
  </si>
  <si>
    <t>Quality Management Coordinator</t>
  </si>
  <si>
    <t>Corporate Document Standard</t>
  </si>
  <si>
    <t>Source Review Format</t>
  </si>
  <si>
    <t>XLSX</t>
  </si>
  <si>
    <t>All employees</t>
  </si>
  <si>
    <t>Internal Use</t>
  </si>
  <si>
    <t>BSF-CORP-003</t>
  </si>
  <si>
    <t>Target Export Format</t>
  </si>
  <si>
    <t>Corporate Organization Chart</t>
  </si>
  <si>
    <t>Human Resources Manager</t>
  </si>
  <si>
    <t>Knowledge Management Lead</t>
  </si>
  <si>
    <t>Medium</t>
  </si>
  <si>
    <t>Pending file generation</t>
  </si>
  <si>
    <t>Version</t>
  </si>
  <si>
    <t>Assigned</t>
  </si>
  <si>
    <t>BSF-CORP-002; BSF-CORP-004; BSF-DOC-STD-001</t>
  </si>
  <si>
    <t>1.0</t>
  </si>
  <si>
    <t>PDF-listed document will be delivered as DOCX under the updated project rule.</t>
  </si>
  <si>
    <t>BSF-CORP-004</t>
  </si>
  <si>
    <t>Corporate Knowledge Map</t>
  </si>
  <si>
    <t>Issue Date</t>
  </si>
  <si>
    <t>Information Security Officer</t>
  </si>
  <si>
    <t>PDF + Markdown</t>
  </si>
  <si>
    <t>2026-07-21</t>
  </si>
  <si>
    <t>Generated</t>
  </si>
  <si>
    <t>Document Owner</t>
  </si>
  <si>
    <t>BSF-HR-001</t>
  </si>
  <si>
    <t>Employee Onboarding Guide</t>
  </si>
  <si>
    <t>Human Resources</t>
  </si>
  <si>
    <t>Department Managers</t>
  </si>
  <si>
    <t>Metadata complete</t>
  </si>
  <si>
    <t>HR Manager</t>
  </si>
  <si>
    <t>BSF-HR-002</t>
  </si>
  <si>
    <t>BSF-CORP-001; BSF-DOC-STD-001; BSF-CORP-004</t>
  </si>
  <si>
    <t>Employee FAQ</t>
  </si>
  <si>
    <t>Formal PDF retained; Markdown companion aligned with PDF and enriched with retrieval supplement.</t>
  </si>
  <si>
    <t>Document control standard</t>
  </si>
  <si>
    <t>BSF-HR-003</t>
  </si>
  <si>
    <t>Document owners and approvers</t>
  </si>
  <si>
    <t>Leave and Benefits Policy</t>
  </si>
  <si>
    <t>Semiannual</t>
  </si>
  <si>
    <t>Keywords</t>
  </si>
  <si>
    <t>ownership matrix, accountable owner, reviewer, approver, document governance, escalation, RAG inventory</t>
  </si>
  <si>
    <t>BSF-HSE-001</t>
  </si>
  <si>
    <t>Workplace Safety Procedure</t>
  </si>
  <si>
    <t>HSE</t>
  </si>
  <si>
    <t>Purpose</t>
  </si>
  <si>
    <t>HSE Manager</t>
  </si>
  <si>
    <t>BSF-INV-001; BSF-INV-002; BSF-INV-004</t>
  </si>
  <si>
    <t>Assign accountable owners, reviewers, approvers, backup roles and governance status for the BlueSea Foods document set.</t>
  </si>
  <si>
    <t>BSF-HSE-002</t>
  </si>
  <si>
    <t>Emergency Response Guide</t>
  </si>
  <si>
    <t>Ownership Rules</t>
  </si>
  <si>
    <t>BSF-OPS-001</t>
  </si>
  <si>
    <t>Cold Chain Control Register</t>
  </si>
  <si>
    <t>Operations</t>
  </si>
  <si>
    <t>Cold Chain Supervisor</t>
  </si>
  <si>
    <t>BSF-CORP-001; BSF-CORP-004; BSF-INV-002</t>
  </si>
  <si>
    <t>Maintains content accuracy, approves updates for review, and confirms operational relevance.</t>
  </si>
  <si>
    <t>Operations Manager</t>
  </si>
  <si>
    <t>Knowledge management</t>
  </si>
  <si>
    <t>BSF-OPS-002</t>
  </si>
  <si>
    <t>Authorized Fishing Vessels</t>
  </si>
  <si>
    <t>Acts when the accountable owner is unavailable and helps confirm continuity of ownership.</t>
  </si>
  <si>
    <t>Sourcing Manager</t>
  </si>
  <si>
    <t>Managers and document owners</t>
  </si>
  <si>
    <t>Checks technical, operational, quality, HSE, IT or compliance accuracy before approval.</t>
  </si>
  <si>
    <t>BSF-OPS-003</t>
  </si>
  <si>
    <t>Seafood Species Catalog</t>
  </si>
  <si>
    <t>BSF-CORP-001; BSF-INV-001; BSF-INV-003; BSF-INV-004</t>
  </si>
  <si>
    <t>Authorizes release or republication according to confidentiality and business risk.</t>
  </si>
  <si>
    <t>Knowledge map retained as PDF; use for routing and ownership, not primary conceptual answers.</t>
  </si>
  <si>
    <t>Quality Control Supervisor</t>
  </si>
  <si>
    <t>Employee guidance</t>
  </si>
  <si>
    <t>Receives overdue, blocked or disputed ownership actions.</t>
  </si>
  <si>
    <t>HSE Coordinator</t>
  </si>
  <si>
    <t>BSF-OPS-004</t>
  </si>
  <si>
    <t>Seafood Receiving and Inspection Procedure</t>
  </si>
  <si>
    <t>Payroll and Benefits Officer</t>
  </si>
  <si>
    <t>Employees and new hires</t>
  </si>
  <si>
    <t>BSF-QMS-001</t>
  </si>
  <si>
    <t>Quality Management Induction</t>
  </si>
  <si>
    <t>Quality and Certifications</t>
  </si>
  <si>
    <t>BSF-HR-002; BSF-HR-003; BSF-HSE-001; BSF-QMS-001</t>
  </si>
  <si>
    <t>Markdown</t>
  </si>
  <si>
    <t>BSF-QMS-002</t>
  </si>
  <si>
    <t>Certification and Compliance Overview</t>
  </si>
  <si>
    <t>BSF-QMS-003</t>
  </si>
  <si>
    <t>Corrective Action and Nonconformity Procedure</t>
  </si>
  <si>
    <t>BSF-HR-001; BSF-HR-003; BSF-IT-002</t>
  </si>
  <si>
    <t>HR FAQ retained as main HR source; use with HR-004 and CORP-006 for labor questions.</t>
  </si>
  <si>
    <t>Policy</t>
  </si>
  <si>
    <t>DOCX</t>
  </si>
  <si>
    <t>BSF-IT-001</t>
  </si>
  <si>
    <t>BlueTrack User Manual</t>
  </si>
  <si>
    <t>Technology</t>
  </si>
  <si>
    <t>IT Systems Lead</t>
  </si>
  <si>
    <t>Employees and HR</t>
  </si>
  <si>
    <t>Confidential - Internal</t>
  </si>
  <si>
    <t>IT Manager</t>
  </si>
  <si>
    <t>BSF-IT-002</t>
  </si>
  <si>
    <t>Corporate Systems Access Guide</t>
  </si>
  <si>
    <t>BSF-HR-001; BSF-HR-002; BSF-IT-002</t>
  </si>
  <si>
    <t>Generated as Markdown before the DOCX/PDF delivery rule update.</t>
  </si>
  <si>
    <t>Procedure</t>
  </si>
  <si>
    <t>BSF-INV-001</t>
  </si>
  <si>
    <t>Document Inventory</t>
  </si>
  <si>
    <t>Emergency Response Coordinator</t>
  </si>
  <si>
    <t>All operational employees and contractors</t>
  </si>
  <si>
    <t>Quality Manager</t>
  </si>
  <si>
    <t>BSF-HSE-002; BSF-OPS-004; BSF-QMS-001</t>
  </si>
  <si>
    <t>Generated as Markdown for review; original final format was DOCX.</t>
  </si>
  <si>
    <t>BSF-INV-003</t>
  </si>
  <si>
    <t>Emergency guide</t>
  </si>
  <si>
    <t>Document Sources and Ingestion Plan</t>
  </si>
  <si>
    <t>All employees and contractors</t>
  </si>
  <si>
    <t>BSF-INV-004</t>
  </si>
  <si>
    <t>Document Curation and Quality Criteria</t>
  </si>
  <si>
    <t>BSF-HSE-001; BSF-OPS-001; BSF-OPS-004</t>
  </si>
  <si>
    <t>Generated as Markdown before the updated rule that PDF-listed documents should be delivered as DOCX.</t>
  </si>
  <si>
    <t>BSF-INV-005</t>
  </si>
  <si>
    <t>Access and Permissions Policy</t>
  </si>
  <si>
    <t>Operational register</t>
  </si>
  <si>
    <t>2027-07-24</t>
  </si>
  <si>
    <t>Operations and QA</t>
  </si>
  <si>
    <t>BSF-CORP-005</t>
  </si>
  <si>
    <t>Corporate Roadmap 2026</t>
  </si>
  <si>
    <t>BSF-OPS-004; BSF-HSE-002; BSF-QMS-003</t>
  </si>
  <si>
    <t>Excel register generated with control sheet and formulas.</t>
  </si>
  <si>
    <t>Operational master data</t>
  </si>
  <si>
    <t>BSF-CORP-006</t>
  </si>
  <si>
    <t>CSV</t>
  </si>
  <si>
    <t>Frequently Asked Questions</t>
  </si>
  <si>
    <t>Critical</t>
  </si>
  <si>
    <t>Compliance Officer</t>
  </si>
  <si>
    <t>BSF-COM-001</t>
  </si>
  <si>
    <t>Procurement and compliance</t>
  </si>
  <si>
    <t>Internal Communication Guidelines</t>
  </si>
  <si>
    <t>BSF-QMS-004</t>
  </si>
  <si>
    <t>BSF-OPS-003; BSF-OPS-004; BSF-QMS-002</t>
  </si>
  <si>
    <t>Food Safety and HACCP Management Manual</t>
  </si>
  <si>
    <t>CSV master data generated with fictitious authorized vessels.</t>
  </si>
  <si>
    <t>JSON</t>
  </si>
  <si>
    <t>BSF-QMS-005</t>
  </si>
  <si>
    <t>HACCP and Food Safety Quick Answers</t>
  </si>
  <si>
    <t>BSF-OPS-005</t>
  </si>
  <si>
    <t>Cold Chain and Freezing Procedure</t>
  </si>
  <si>
    <t>BSF-OPS-002; BSF-OPS-004; BSF-QMS-002</t>
  </si>
  <si>
    <t>JSON catalog generated and syntactically validated.</t>
  </si>
  <si>
    <t>BSF-IT-003</t>
  </si>
  <si>
    <t>Data Security and API Guidelines</t>
  </si>
  <si>
    <t>Receiving team and QA</t>
  </si>
  <si>
    <t>BSF-IT-004</t>
  </si>
  <si>
    <t>BlueTrack Access Login and Modules Guide</t>
  </si>
  <si>
    <t>BSF-OPS-001; BSF-OPS-002; BSF-OPS-003; BSF-QMS-003</t>
  </si>
  <si>
    <t>Training deck</t>
  </si>
  <si>
    <t>PPTX</t>
  </si>
  <si>
    <t>BSF-HR-004</t>
  </si>
  <si>
    <t>Employee Relations and Workplace Quick Answers</t>
  </si>
  <si>
    <t>Training Coordinator</t>
  </si>
  <si>
    <t>BSF-LEGAL-001</t>
  </si>
  <si>
    <t>Data Privacy and Compliance Policy</t>
  </si>
  <si>
    <t>Legal / Compliance</t>
  </si>
  <si>
    <t>BSF-QMS-002; BSF-QMS-003; BSF-HR-001</t>
  </si>
  <si>
    <t>PPTX generated and visually validated.</t>
  </si>
  <si>
    <t>BSF-FIN-001</t>
  </si>
  <si>
    <t>Compliance overview</t>
  </si>
  <si>
    <t>Expense and Reimbursement Policy</t>
  </si>
  <si>
    <t>Finance</t>
  </si>
  <si>
    <t>Finance Manager</t>
  </si>
  <si>
    <t>Managers and audit owners</t>
  </si>
  <si>
    <t>BSF-RAG-001</t>
  </si>
  <si>
    <t>Document Improvement Matrix for RAG</t>
  </si>
  <si>
    <t>Corporate Knowledge Management</t>
  </si>
  <si>
    <t>Low</t>
  </si>
  <si>
    <t>BSF-QMS-001; BSF-QMS-003; BSF-INV-004</t>
  </si>
  <si>
    <t>BSF-RAG-002</t>
  </si>
  <si>
    <t>Document Review and Update Plan for RAG Improvement</t>
  </si>
  <si>
    <t>Delivered as DOCX under the updated rule for PDF-listed documents.</t>
  </si>
  <si>
    <t>Managers and process owners</t>
  </si>
  <si>
    <t>BSF-QMS-002; BSF-OPS-004; BSF-INV-004</t>
  </si>
  <si>
    <t>Delivered as DOCX with official logo and visual validation.</t>
  </si>
  <si>
    <t>User manual</t>
  </si>
  <si>
    <t>HTML</t>
  </si>
  <si>
    <t>Authorized system users</t>
  </si>
  <si>
    <t>BSF-IT-002; BSF-OPS-001; BSF-OPS-004</t>
  </si>
  <si>
    <t>HTML manual generated with embedded logo and internal navigation.</t>
  </si>
  <si>
    <t>Access guide</t>
  </si>
  <si>
    <t>Employees with system access</t>
  </si>
  <si>
    <t>BSF-IT-001; BSF-HR-001; BSF-INV-005</t>
  </si>
  <si>
    <t>Inventory</t>
  </si>
  <si>
    <t>Document owners and RAG team</t>
  </si>
  <si>
    <t>BSF-INV-002; BSF-INV-003; BSF-INV-004; BSF-INV-005</t>
  </si>
  <si>
    <t>This file is the master inventory for collection and RAG ingestion planning.</t>
  </si>
  <si>
    <t>Ownership matrix</t>
  </si>
  <si>
    <t>BSF-INV-001; BSF-DOC-STD-001; BSF-CORP-003</t>
  </si>
  <si>
    <t>Ownership matrix updated with new RAG, legal, HR, IT, operations and quality documents.</t>
  </si>
  <si>
    <t>RAG ingestion plan</t>
  </si>
  <si>
    <t>RAG team and document owners</t>
  </si>
  <si>
    <t>BSF-INV-001; BSF-INV-004; BSF-INV-005; BSF-CORP-004</t>
  </si>
  <si>
    <t>Markdown source generated for the RAG collection and ingestion workflow.</t>
  </si>
  <si>
    <t>Curation criteria</t>
  </si>
  <si>
    <t>BSF-INV-001; BSF-INV-003; BSF-QMS-002; BSF-QMS-003</t>
  </si>
  <si>
    <t>Markdown source generated defining quality rules before ingestion.</t>
  </si>
  <si>
    <t>Access policy</t>
  </si>
  <si>
    <t>RAG team and system administrators</t>
  </si>
  <si>
    <t>BSF-INV-001; BSF-INV-003; BSF-IT-002; BSF-DOC-STD-001</t>
  </si>
  <si>
    <t>Markdown policy generated for document permissions and RAG access control.</t>
  </si>
  <si>
    <t>Strategy roadmap</t>
  </si>
  <si>
    <t>BSF-CORP-001; BSF-CORP-004; BSF-CORP-006</t>
  </si>
  <si>
    <t>Markdown roadmap stored in corporate folder.</t>
  </si>
  <si>
    <t>FAQ / Knowledge base</t>
  </si>
  <si>
    <t>Very High</t>
  </si>
  <si>
    <t>BSF-CORP-002; BSF-QMS-004; BSF-OPS-005; BSF-IT-004; BSF-HR-004; BSF-LEGAL-001</t>
  </si>
  <si>
    <t>Priority FAQ source for conceptual employee and RAG questions.</t>
  </si>
  <si>
    <t>Communication guidelines</t>
  </si>
  <si>
    <t>BSF-CORP-006; BSF-LEGAL-001; BSF-DOC-STD-001</t>
  </si>
  <si>
    <t>Supports communication, public statement and document-sharing questions.</t>
  </si>
  <si>
    <t>Food safety manual</t>
  </si>
  <si>
    <t>Operations, QA and managers</t>
  </si>
  <si>
    <t>BSF-QMS-005; BSF-OPS-005; BSF-CORP-006; BSF-CORP-002</t>
  </si>
  <si>
    <t>Main source for HACCP and food safety questions.</t>
  </si>
  <si>
    <t>Quick answers</t>
  </si>
  <si>
    <t>BSF-QMS-004; BSF-CORP-006; BSF-CORP-002; BSF-OPS-005</t>
  </si>
  <si>
    <t>Retrieval-optimized companion for HACCP concepts.</t>
  </si>
  <si>
    <t>BSF-OPS-001; BSF-OPS-004; BSF-QMS-004; BSF-QMS-005; BSF-IT-004</t>
  </si>
  <si>
    <t>Primary source for cold chain, freezing and temperature conceptual questions.</t>
  </si>
  <si>
    <t>Security guideline</t>
  </si>
  <si>
    <t>IT, RAG team and authorized users</t>
  </si>
  <si>
    <t>BSF-IT-002; BSF-IT-004; BSF-LEGAL-001; BSF-INV-005</t>
  </si>
  <si>
    <t>Security and API source for technical and privacy questions.</t>
  </si>
  <si>
    <t>User guide / quick reference</t>
  </si>
  <si>
    <t>BSF-IT-001; BSF-IT-002; BSF-IT-003; BSF-OPS-005; BSF-CORP-006</t>
  </si>
  <si>
    <t>Retrieval-optimized source for BlueTrack access, login and modules.</t>
  </si>
  <si>
    <t>BSF-HR-001; BSF-HR-002; BSF-HR-003; BSF-CORP-006; BSF-LEGAL-001</t>
  </si>
  <si>
    <t>Retrieval-optimized HR/labor companion for frequent workplace questions.</t>
  </si>
  <si>
    <t>Managers, Compliance, Legal and authorized users</t>
  </si>
  <si>
    <t>BSF-CORP-006; BSF-IT-003; BSF-COM-001; BSF-INV-005</t>
  </si>
  <si>
    <t>Dedicated source for legal, privacy and compliance questions.</t>
  </si>
  <si>
    <t>Employees and finance reviewers</t>
  </si>
  <si>
    <t>BSF-CORP-006; BSF-HR-002; BSF-LEGAL-001</t>
  </si>
  <si>
    <t>Finance source for expense and reimbursement questions.</t>
  </si>
  <si>
    <t>RAG improvement matrix</t>
  </si>
  <si>
    <t>BSF-RAG-002; BSF-INV-001; BSF-INV-003; BSF-INV-004</t>
  </si>
  <si>
    <t>Project control source. Do not prioritize for general employee answers.</t>
  </si>
  <si>
    <t>RAG update plan</t>
  </si>
  <si>
    <t>BSF-RAG-001; BSF-INV-001; BSF-INV-003; BSF-INV-004</t>
  </si>
  <si>
    <t>Owner Summary</t>
  </si>
  <si>
    <t>Total Docs</t>
  </si>
  <si>
    <t>Critical/High</t>
  </si>
  <si>
    <t>Confidential</t>
  </si>
  <si>
    <t>Assigned Owners</t>
  </si>
  <si>
    <t>Overdue Reviews</t>
  </si>
  <si>
    <t>Top-Level Controls</t>
  </si>
  <si>
    <t>Total documents</t>
  </si>
  <si>
    <t>Documents generated</t>
  </si>
  <si>
    <t>Documents planned</t>
  </si>
  <si>
    <t>Critical documents</t>
  </si>
  <si>
    <t>Ownership assigned</t>
  </si>
  <si>
    <t>Reviews due within 60 days</t>
  </si>
  <si>
    <t>List Name</t>
  </si>
  <si>
    <t>Allowed Value</t>
  </si>
  <si>
    <t>In Review</t>
  </si>
  <si>
    <t>Retired</t>
  </si>
  <si>
    <t>Before release</t>
  </si>
  <si>
    <t>Quarterly</t>
  </si>
  <si>
    <t>Overdue</t>
  </si>
  <si>
    <t>Due Soon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</si>
</sst>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1.0"/>
      <color rgb="FF000000"/>
      <name val="Carlito"/>
      <scheme val="minor"/>
    </font>
    <font>
      <sz val="11.0"/>
      <color rgb="FFFFFFFF"/>
      <name val="Carlito"/>
    </font>
    <font>
      <b/>
      <sz val="16.0"/>
      <color rgb="FFFFFFFF"/>
      <name val="Carlito"/>
    </font>
    <font>
      <b/>
      <sz val="11.0"/>
      <color rgb="FFFFFFFF"/>
      <name val="Carlito"/>
    </font>
    <font>
      <b/>
      <sz val="11.0"/>
      <color rgb="FF0F4C5C"/>
      <name val="Carlito"/>
    </font>
    <font>
      <sz val="11.0"/>
      <color theme="1"/>
      <name val="Carlito"/>
    </font>
    <font>
      <sz val="10.0"/>
      <color rgb="FF1F2933"/>
      <name val="Carlito"/>
    </font>
    <font>
      <b/>
      <sz val="10.0"/>
      <color rgb="FF0F4C5C"/>
      <name val="Carlito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B7C9D3"/>
      </left>
      <right style="thin">
        <color rgb="FFB7C9D3"/>
      </right>
      <top style="thin">
        <color rgb="FFB7C9D3"/>
      </top>
      <bottom style="thin">
        <color rgb="FFB7C9D3"/>
      </bottom>
    </border>
    <border>
      <left style="thin">
        <color rgb="FFD8E1E8"/>
      </left>
      <right style="thin">
        <color rgb="FFD8E1E8"/>
      </right>
      <top style="thin">
        <color rgb="FFD8E1E8"/>
      </top>
      <bottom style="thin">
        <color rgb="FFD8E1E8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shrinkToFit="0" wrapText="1"/>
    </xf>
    <xf borderId="0" fillId="0" fontId="4" numFmtId="0" xfId="0" applyFont="1"/>
    <xf borderId="0" fillId="0" fontId="5" numFmtId="0" xfId="0" applyFont="1"/>
    <xf borderId="2" fillId="0" fontId="6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2" fillId="0" fontId="6" numFmtId="164" xfId="0" applyAlignment="1" applyBorder="1" applyFont="1" applyNumberFormat="1">
      <alignment shrinkToFit="0" wrapText="1"/>
    </xf>
    <xf borderId="2" fillId="0" fontId="7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wrapText="1"/>
    </xf>
    <xf borderId="2" fillId="0" fontId="6" numFmtId="1" xfId="0" applyAlignment="1" applyBorder="1" applyFont="1" applyNumberFormat="1">
      <alignment shrinkToFit="0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991B1B"/>
      </font>
      <fill>
        <patternFill patternType="none"/>
      </fill>
      <border/>
    </dxf>
    <dxf>
      <font>
        <b/>
        <color rgb="FF92400E"/>
      </font>
      <fill>
        <patternFill patternType="none"/>
      </fill>
      <border/>
    </dxf>
    <dxf>
      <font>
        <b/>
        <color rgb="FF166534"/>
      </font>
      <fill>
        <patternFill patternType="none"/>
      </fill>
      <border/>
    </dxf>
    <dxf>
      <font>
        <b/>
        <color rgb="FF7C2D12"/>
      </font>
      <fill>
        <patternFill patternType="none"/>
      </fill>
      <border/>
    </dxf>
  </dxfs>
  <tableStyles count="4">
    <tableStyle count="3" pivot="0" name="Ownership Matrix-style">
      <tableStyleElement dxfId="1" type="headerRow"/>
      <tableStyleElement dxfId="2" type="firstRowStripe"/>
      <tableStyleElement dxfId="3" type="secondRowStripe"/>
    </tableStyle>
    <tableStyle count="3" pivot="0" name="Review Calendar-style">
      <tableStyleElement dxfId="1" type="headerRow"/>
      <tableStyleElement dxfId="2" type="firstRowStripe"/>
      <tableStyleElement dxfId="3" type="secondRowStripe"/>
    </tableStyle>
    <tableStyle count="3" pivot="0" name="RACI-style">
      <tableStyleElement dxfId="1" type="headerRow"/>
      <tableStyleElement dxfId="2" type="firstRowStripe"/>
      <tableStyleElement dxfId="3" type="secondRowStripe"/>
    </tableStyle>
    <tableStyle count="3" pivot="0" name="Lis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5730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40" displayName="Table_2" name="Table_2" id="1">
  <tableColumns count="23">
    <tableColumn name="Document Code" id="1"/>
    <tableColumn name="Document Title" id="2"/>
    <tableColumn name="Business Area" id="3"/>
    <tableColumn name="Category" id="4"/>
    <tableColumn name="Format" id="5"/>
    <tableColumn name="Document Status" id="6"/>
    <tableColumn name="Accountable Owner" id="7"/>
    <tableColumn name="Backup Owner" id="8"/>
    <tableColumn name="Primary Reviewer" id="9"/>
    <tableColumn name="Final Approver" id="10"/>
    <tableColumn name="Consulted Role" id="11"/>
    <tableColumn name="Informed Audience" id="12"/>
    <tableColumn name="Confidentiality" id="13"/>
    <tableColumn name="Access Level" id="14"/>
    <tableColumn name="Criticality" id="15"/>
    <tableColumn name="Review Frequency" id="16"/>
    <tableColumn name="Next Review Date" id="17"/>
    <tableColumn name="RAG Priority" id="18"/>
    <tableColumn name="Metadata Status" id="19"/>
    <tableColumn name="Escalation Owner" id="20"/>
    <tableColumn name="Ownership Status" id="21"/>
    <tableColumn name="Related Documents" id="22"/>
    <tableColumn name="Notes" id="23"/>
  </tableColumns>
  <tableStyleInfo name="Ownership Matrix-style" showColumnStripes="0" showFirstColumn="1" showLastColumn="1" showRowStripes="1"/>
</table>
</file>

<file path=xl/tables/table2.xml><?xml version="1.0" encoding="utf-8"?>
<table xmlns="http://schemas.openxmlformats.org/spreadsheetml/2006/main" ref="A1:H9" displayName="Table_3" name="Table_3" id="3">
  <tableColumns count="8">
    <tableColumn name="Role" id="1"/>
    <tableColumn name="Create / Draft" id="2"/>
    <tableColumn name="Technical Review" id="3"/>
    <tableColumn name="Final Approval" id="4"/>
    <tableColumn name="Publish / Version" id="5"/>
    <tableColumn name="RAG Metadata" id="6"/>
    <tableColumn name="Access Control" id="7"/>
    <tableColumn name="Overdue Escalation" id="8"/>
  </tableColumns>
  <tableStyleInfo name="RACI-style" showColumnStripes="0" showFirstColumn="1" showLastColumn="1" showRowStripes="1"/>
</table>
</file>

<file path=xl/tables/table3.xml><?xml version="1.0" encoding="utf-8"?>
<table xmlns="http://schemas.openxmlformats.org/spreadsheetml/2006/main" ref="A1:J38" displayName="Table_1" name="Table_1" id="2">
  <tableColumns count="10">
    <tableColumn name="Next Review Date" id="1"/>
    <tableColumn name="Document Code" id="2"/>
    <tableColumn name="Document Title" id="3"/>
    <tableColumn name="Business Area" id="4"/>
    <tableColumn name="Accountable Owner" id="5"/>
    <tableColumn name="Criticality" id="6"/>
    <tableColumn name="Review Frequency" id="7"/>
    <tableColumn name="Due Month" id="8"/>
    <tableColumn name="Review Status" id="9"/>
    <tableColumn name="Escalation Owner" id="10"/>
  </tableColumns>
  <tableStyleInfo name="Review Calendar-style" showColumnStripes="0" showFirstColumn="1" showLastColumn="1" showRowStripes="1"/>
</table>
</file>

<file path=xl/tables/table4.xml><?xml version="1.0" encoding="utf-8"?>
<table xmlns="http://schemas.openxmlformats.org/spreadsheetml/2006/main" ref="A1:B16" displayName="Table_4" name="Table_4" id="4">
  <tableColumns count="2">
    <tableColumn name="List Name" id="1"/>
    <tableColumn name="Allowed Value" id="2"/>
  </tableColumns>
  <tableStyleInfo name="Lis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4.0"/>
    <col customWidth="1" min="3" max="3" width="26.0"/>
    <col customWidth="1" min="4" max="4" width="72.0"/>
    <col customWidth="1" min="5" max="9" width="12.0"/>
    <col customWidth="1" min="10" max="26" width="8.63"/>
  </cols>
  <sheetData>
    <row r="1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>
      <c r="A2" s="1"/>
      <c r="B2" s="1"/>
      <c r="C2" s="4" t="s">
        <v>7</v>
      </c>
      <c r="D2" s="4"/>
      <c r="E2" s="4"/>
      <c r="F2" s="4"/>
      <c r="G2" s="4"/>
      <c r="H2" s="4"/>
      <c r="I2" s="4"/>
    </row>
    <row r="3">
      <c r="A3" s="1"/>
      <c r="B3" s="1"/>
      <c r="C3" s="5"/>
      <c r="D3" s="5"/>
      <c r="E3" s="5"/>
      <c r="F3" s="5"/>
      <c r="G3" s="5"/>
      <c r="H3" s="5"/>
      <c r="I3" s="5"/>
    </row>
    <row r="4">
      <c r="A4" s="5"/>
      <c r="B4" s="5"/>
      <c r="C4" s="7" t="s">
        <v>28</v>
      </c>
      <c r="D4" s="7" t="s">
        <v>33</v>
      </c>
      <c r="E4" s="5"/>
      <c r="F4" s="5"/>
      <c r="G4" s="5"/>
      <c r="H4" s="5"/>
      <c r="I4" s="5"/>
    </row>
    <row r="5">
      <c r="A5" s="5"/>
      <c r="B5" s="5"/>
      <c r="C5" s="9" t="s">
        <v>4</v>
      </c>
      <c r="D5" s="10" t="s">
        <v>49</v>
      </c>
      <c r="E5" s="5"/>
      <c r="F5" s="5"/>
      <c r="G5" s="5"/>
      <c r="H5" s="5"/>
      <c r="I5" s="5"/>
    </row>
    <row r="6">
      <c r="A6" s="5"/>
      <c r="B6" s="5"/>
      <c r="C6" s="9" t="s">
        <v>5</v>
      </c>
      <c r="D6" s="10" t="s">
        <v>56</v>
      </c>
      <c r="E6" s="5"/>
      <c r="F6" s="5"/>
      <c r="G6" s="5"/>
      <c r="H6" s="5"/>
      <c r="I6" s="5"/>
    </row>
    <row r="7">
      <c r="A7" s="5"/>
      <c r="B7" s="5"/>
      <c r="C7" s="9" t="s">
        <v>8</v>
      </c>
      <c r="D7" s="10" t="s">
        <v>61</v>
      </c>
      <c r="E7" s="5"/>
      <c r="F7" s="5"/>
      <c r="G7" s="5"/>
      <c r="H7" s="5"/>
      <c r="I7" s="5"/>
    </row>
    <row r="8">
      <c r="A8" s="5"/>
      <c r="B8" s="5"/>
      <c r="C8" s="9" t="s">
        <v>65</v>
      </c>
      <c r="D8" s="10" t="s">
        <v>66</v>
      </c>
      <c r="E8" s="5"/>
      <c r="F8" s="5"/>
      <c r="G8" s="5"/>
      <c r="H8" s="5"/>
      <c r="I8" s="5"/>
    </row>
    <row r="9">
      <c r="A9" s="5"/>
      <c r="B9" s="5"/>
      <c r="C9" s="9" t="s">
        <v>70</v>
      </c>
      <c r="D9" s="10" t="s">
        <v>66</v>
      </c>
      <c r="E9" s="5"/>
      <c r="F9" s="5"/>
      <c r="G9" s="5"/>
      <c r="H9" s="5"/>
      <c r="I9" s="5"/>
    </row>
    <row r="10">
      <c r="A10" s="5"/>
      <c r="B10" s="5"/>
      <c r="C10" s="9" t="s">
        <v>76</v>
      </c>
      <c r="D10" s="10" t="s">
        <v>79</v>
      </c>
      <c r="E10" s="5"/>
      <c r="F10" s="5"/>
      <c r="G10" s="5"/>
      <c r="H10" s="5"/>
      <c r="I10" s="5"/>
    </row>
    <row r="11">
      <c r="A11" s="5"/>
      <c r="B11" s="5"/>
      <c r="C11" s="9" t="s">
        <v>83</v>
      </c>
      <c r="D11" s="10" t="s">
        <v>86</v>
      </c>
      <c r="E11" s="5"/>
      <c r="F11" s="5"/>
      <c r="G11" s="5"/>
      <c r="H11" s="5"/>
      <c r="I11" s="5"/>
    </row>
    <row r="12">
      <c r="A12" s="5"/>
      <c r="B12" s="5"/>
      <c r="C12" s="9" t="s">
        <v>88</v>
      </c>
      <c r="D12" s="10" t="s">
        <v>22</v>
      </c>
      <c r="E12" s="5"/>
      <c r="F12" s="5"/>
      <c r="G12" s="5"/>
      <c r="H12" s="5"/>
      <c r="I12" s="5"/>
    </row>
    <row r="13">
      <c r="A13" s="5"/>
      <c r="B13" s="5"/>
      <c r="C13" s="9" t="s">
        <v>18</v>
      </c>
      <c r="D13" s="10" t="s">
        <v>92</v>
      </c>
      <c r="E13" s="5"/>
      <c r="F13" s="5"/>
      <c r="G13" s="5"/>
      <c r="H13" s="5"/>
      <c r="I13" s="5"/>
    </row>
    <row r="14">
      <c r="A14" s="5"/>
      <c r="B14" s="5"/>
      <c r="C14" s="9" t="s">
        <v>37</v>
      </c>
      <c r="D14" s="10" t="s">
        <v>68</v>
      </c>
      <c r="E14" s="5"/>
      <c r="F14" s="5"/>
      <c r="G14" s="5"/>
      <c r="H14" s="5"/>
      <c r="I14" s="5"/>
    </row>
    <row r="15">
      <c r="A15" s="5"/>
      <c r="B15" s="5"/>
      <c r="C15" s="9" t="s">
        <v>39</v>
      </c>
      <c r="D15" s="10" t="s">
        <v>101</v>
      </c>
      <c r="E15" s="5"/>
      <c r="F15" s="5"/>
      <c r="G15" s="5"/>
      <c r="H15" s="5"/>
      <c r="I15" s="5"/>
    </row>
    <row r="16">
      <c r="A16" s="5"/>
      <c r="B16" s="5"/>
      <c r="C16" s="9" t="s">
        <v>104</v>
      </c>
      <c r="D16" s="10" t="s">
        <v>105</v>
      </c>
      <c r="E16" s="5"/>
      <c r="F16" s="5"/>
      <c r="G16" s="5"/>
      <c r="H16" s="5"/>
      <c r="I16" s="5"/>
    </row>
    <row r="17">
      <c r="A17" s="5"/>
      <c r="B17" s="5"/>
      <c r="C17" s="9" t="s">
        <v>109</v>
      </c>
      <c r="D17" s="10" t="s">
        <v>112</v>
      </c>
      <c r="E17" s="5"/>
      <c r="F17" s="5"/>
      <c r="G17" s="5"/>
      <c r="H17" s="5"/>
      <c r="I17" s="5"/>
    </row>
    <row r="18">
      <c r="A18" s="5"/>
      <c r="B18" s="5"/>
      <c r="C18" s="5"/>
      <c r="D18" s="5"/>
      <c r="E18" s="5"/>
      <c r="F18" s="5"/>
      <c r="G18" s="5"/>
      <c r="H18" s="5"/>
      <c r="I18" s="5"/>
    </row>
    <row r="19">
      <c r="A19" s="5"/>
      <c r="B19" s="5"/>
      <c r="C19" s="7" t="s">
        <v>115</v>
      </c>
      <c r="D19" s="7"/>
      <c r="E19" s="7"/>
      <c r="F19" s="7"/>
      <c r="G19" s="7"/>
      <c r="H19" s="7"/>
      <c r="I19" s="7"/>
    </row>
    <row r="20">
      <c r="A20" s="5"/>
      <c r="B20" s="5"/>
      <c r="C20" s="9" t="s">
        <v>16</v>
      </c>
      <c r="D20" s="10" t="s">
        <v>121</v>
      </c>
      <c r="E20" s="5"/>
      <c r="F20" s="5"/>
      <c r="G20" s="5"/>
      <c r="H20" s="5"/>
      <c r="I20" s="5"/>
    </row>
    <row r="21" ht="15.75" customHeight="1">
      <c r="A21" s="5"/>
      <c r="B21" s="5"/>
      <c r="C21" s="9" t="s">
        <v>18</v>
      </c>
      <c r="D21" s="10" t="s">
        <v>126</v>
      </c>
      <c r="E21" s="5"/>
      <c r="F21" s="5"/>
      <c r="G21" s="5"/>
      <c r="H21" s="5"/>
      <c r="I21" s="5"/>
    </row>
    <row r="22" ht="15.75" customHeight="1">
      <c r="A22" s="5"/>
      <c r="B22" s="5"/>
      <c r="C22" s="9" t="s">
        <v>21</v>
      </c>
      <c r="D22" s="10" t="s">
        <v>129</v>
      </c>
      <c r="E22" s="5"/>
      <c r="F22" s="5"/>
      <c r="G22" s="5"/>
      <c r="H22" s="5"/>
      <c r="I22" s="5"/>
    </row>
    <row r="23" ht="15.75" customHeight="1">
      <c r="A23" s="5"/>
      <c r="B23" s="5"/>
      <c r="C23" s="9" t="s">
        <v>23</v>
      </c>
      <c r="D23" s="10" t="s">
        <v>133</v>
      </c>
      <c r="E23" s="5"/>
      <c r="F23" s="5"/>
      <c r="G23" s="5"/>
      <c r="H23" s="5"/>
      <c r="I23" s="5"/>
    </row>
    <row r="24" ht="15.75" customHeight="1">
      <c r="A24" s="5"/>
      <c r="B24" s="5"/>
      <c r="C24" s="9" t="s">
        <v>27</v>
      </c>
      <c r="D24" s="10" t="s">
        <v>137</v>
      </c>
      <c r="E24" s="5"/>
      <c r="F24" s="5"/>
      <c r="G24" s="5"/>
      <c r="H24" s="5"/>
      <c r="I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0"/>
    <col customWidth="1" min="2" max="2" width="34.0"/>
    <col customWidth="1" min="3" max="3" width="22.0"/>
    <col customWidth="1" min="4" max="4" width="24.0"/>
    <col customWidth="1" min="5" max="5" width="12.0"/>
    <col customWidth="1" min="6" max="6" width="14.0"/>
    <col customWidth="1" min="7" max="9" width="26.0"/>
    <col customWidth="1" min="10" max="10" width="24.0"/>
    <col customWidth="1" min="11" max="11" width="26.0"/>
    <col customWidth="1" min="12" max="12" width="32.0"/>
    <col customWidth="1" min="13" max="13" width="20.0"/>
    <col customWidth="1" min="14" max="14" width="30.0"/>
    <col customWidth="1" min="15" max="15" width="13.0"/>
    <col customWidth="1" min="16" max="17" width="16.0"/>
    <col customWidth="1" min="18" max="18" width="12.0"/>
    <col customWidth="1" min="19" max="20" width="22.0"/>
    <col customWidth="1" min="21" max="21" width="16.0"/>
    <col customWidth="1" min="22" max="22" width="34.0"/>
    <col customWidth="1" min="23" max="23" width="58.0"/>
    <col customWidth="1" min="24" max="26" width="8.63"/>
  </cols>
  <sheetData>
    <row r="1">
      <c r="A1" s="3" t="s">
        <v>4</v>
      </c>
      <c r="B1" s="3" t="s">
        <v>5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21</v>
      </c>
      <c r="J1" s="3" t="s">
        <v>23</v>
      </c>
      <c r="K1" s="3" t="s">
        <v>32</v>
      </c>
      <c r="L1" s="3" t="s">
        <v>35</v>
      </c>
      <c r="M1" s="3" t="s">
        <v>37</v>
      </c>
      <c r="N1" s="3" t="s">
        <v>39</v>
      </c>
      <c r="O1" s="3" t="s">
        <v>20</v>
      </c>
      <c r="P1" s="3" t="s">
        <v>24</v>
      </c>
      <c r="Q1" s="3" t="s">
        <v>2</v>
      </c>
      <c r="R1" s="3" t="s">
        <v>45</v>
      </c>
      <c r="S1" s="3" t="s">
        <v>47</v>
      </c>
      <c r="T1" s="3" t="s">
        <v>27</v>
      </c>
      <c r="U1" s="3" t="s">
        <v>51</v>
      </c>
      <c r="V1" s="3" t="s">
        <v>52</v>
      </c>
      <c r="W1" s="3" t="s">
        <v>53</v>
      </c>
    </row>
    <row r="2">
      <c r="A2" s="6" t="s">
        <v>36</v>
      </c>
      <c r="B2" s="6" t="s">
        <v>38</v>
      </c>
      <c r="C2" s="6" t="s">
        <v>40</v>
      </c>
      <c r="D2" s="6" t="s">
        <v>57</v>
      </c>
      <c r="E2" s="6" t="s">
        <v>59</v>
      </c>
      <c r="F2" s="6" t="s">
        <v>60</v>
      </c>
      <c r="G2" s="6" t="s">
        <v>41</v>
      </c>
      <c r="H2" s="6" t="s">
        <v>63</v>
      </c>
      <c r="I2" s="6" t="s">
        <v>63</v>
      </c>
      <c r="J2" s="6" t="s">
        <v>41</v>
      </c>
      <c r="K2" s="6" t="s">
        <v>22</v>
      </c>
      <c r="L2" s="6" t="s">
        <v>67</v>
      </c>
      <c r="M2" s="6" t="s">
        <v>68</v>
      </c>
      <c r="N2" s="6" t="s">
        <v>67</v>
      </c>
      <c r="O2" s="6" t="s">
        <v>42</v>
      </c>
      <c r="P2" s="6" t="s">
        <v>44</v>
      </c>
      <c r="Q2" s="8" t="s">
        <v>30</v>
      </c>
      <c r="R2" s="6" t="s">
        <v>42</v>
      </c>
      <c r="S2" s="6" t="s">
        <v>75</v>
      </c>
      <c r="T2" s="6" t="s">
        <v>50</v>
      </c>
      <c r="U2" s="6" t="s">
        <v>77</v>
      </c>
      <c r="V2" s="6" t="s">
        <v>78</v>
      </c>
      <c r="W2" s="6" t="s">
        <v>80</v>
      </c>
    </row>
    <row r="3">
      <c r="A3" s="6" t="s">
        <v>54</v>
      </c>
      <c r="B3" s="6" t="s">
        <v>55</v>
      </c>
      <c r="C3" s="6" t="s">
        <v>40</v>
      </c>
      <c r="D3" s="6" t="s">
        <v>57</v>
      </c>
      <c r="E3" s="6" t="s">
        <v>85</v>
      </c>
      <c r="F3" s="6" t="s">
        <v>87</v>
      </c>
      <c r="G3" s="6" t="s">
        <v>41</v>
      </c>
      <c r="H3" s="6" t="s">
        <v>22</v>
      </c>
      <c r="I3" s="6" t="s">
        <v>63</v>
      </c>
      <c r="J3" s="6" t="s">
        <v>41</v>
      </c>
      <c r="K3" s="6" t="s">
        <v>22</v>
      </c>
      <c r="L3" s="6" t="s">
        <v>67</v>
      </c>
      <c r="M3" s="6" t="s">
        <v>68</v>
      </c>
      <c r="N3" s="6" t="s">
        <v>67</v>
      </c>
      <c r="O3" s="6" t="s">
        <v>42</v>
      </c>
      <c r="P3" s="6" t="s">
        <v>44</v>
      </c>
      <c r="Q3" s="8" t="s">
        <v>30</v>
      </c>
      <c r="R3" s="6" t="s">
        <v>42</v>
      </c>
      <c r="S3" s="6" t="s">
        <v>93</v>
      </c>
      <c r="T3" s="6" t="s">
        <v>50</v>
      </c>
      <c r="U3" s="6" t="s">
        <v>77</v>
      </c>
      <c r="V3" s="6" t="s">
        <v>96</v>
      </c>
      <c r="W3" s="6" t="s">
        <v>98</v>
      </c>
    </row>
    <row r="4">
      <c r="A4" s="6" t="s">
        <v>62</v>
      </c>
      <c r="B4" s="6" t="s">
        <v>64</v>
      </c>
      <c r="C4" s="6" t="s">
        <v>40</v>
      </c>
      <c r="D4" s="6" t="s">
        <v>99</v>
      </c>
      <c r="E4" s="6" t="s">
        <v>59</v>
      </c>
      <c r="F4" s="6" t="s">
        <v>60</v>
      </c>
      <c r="G4" s="6" t="s">
        <v>22</v>
      </c>
      <c r="H4" s="6" t="s">
        <v>63</v>
      </c>
      <c r="I4" s="6" t="s">
        <v>63</v>
      </c>
      <c r="J4" s="6" t="s">
        <v>41</v>
      </c>
      <c r="K4" s="6" t="s">
        <v>22</v>
      </c>
      <c r="L4" s="6" t="s">
        <v>101</v>
      </c>
      <c r="M4" s="6" t="s">
        <v>68</v>
      </c>
      <c r="N4" s="6" t="s">
        <v>101</v>
      </c>
      <c r="O4" s="6" t="s">
        <v>42</v>
      </c>
      <c r="P4" s="6" t="s">
        <v>44</v>
      </c>
      <c r="Q4" s="8" t="s">
        <v>30</v>
      </c>
      <c r="R4" s="6" t="s">
        <v>42</v>
      </c>
      <c r="S4" s="6" t="s">
        <v>75</v>
      </c>
      <c r="T4" s="6" t="s">
        <v>50</v>
      </c>
      <c r="U4" s="6" t="s">
        <v>77</v>
      </c>
      <c r="V4" s="6" t="s">
        <v>111</v>
      </c>
      <c r="W4" s="6" t="s">
        <v>80</v>
      </c>
    </row>
    <row r="5">
      <c r="A5" s="6" t="s">
        <v>69</v>
      </c>
      <c r="B5" s="6" t="s">
        <v>71</v>
      </c>
      <c r="C5" s="6" t="s">
        <v>40</v>
      </c>
      <c r="D5" s="6" t="s">
        <v>57</v>
      </c>
      <c r="E5" s="6" t="s">
        <v>59</v>
      </c>
      <c r="F5" s="6" t="s">
        <v>60</v>
      </c>
      <c r="G5" s="6" t="s">
        <v>72</v>
      </c>
      <c r="H5" s="6" t="s">
        <v>41</v>
      </c>
      <c r="I5" s="6" t="s">
        <v>63</v>
      </c>
      <c r="J5" s="6" t="s">
        <v>41</v>
      </c>
      <c r="K5" s="6" t="s">
        <v>22</v>
      </c>
      <c r="L5" s="6" t="s">
        <v>67</v>
      </c>
      <c r="M5" s="6" t="s">
        <v>68</v>
      </c>
      <c r="N5" s="6" t="s">
        <v>67</v>
      </c>
      <c r="O5" s="6" t="s">
        <v>74</v>
      </c>
      <c r="P5" s="6" t="s">
        <v>44</v>
      </c>
      <c r="Q5" s="8" t="s">
        <v>30</v>
      </c>
      <c r="R5" s="6" t="s">
        <v>74</v>
      </c>
      <c r="S5" s="6" t="s">
        <v>75</v>
      </c>
      <c r="T5" s="6" t="s">
        <v>50</v>
      </c>
      <c r="U5" s="6" t="s">
        <v>77</v>
      </c>
      <c r="V5" s="6" t="s">
        <v>120</v>
      </c>
      <c r="W5" s="6" t="s">
        <v>80</v>
      </c>
    </row>
    <row r="6">
      <c r="A6" s="6" t="s">
        <v>81</v>
      </c>
      <c r="B6" s="6" t="s">
        <v>82</v>
      </c>
      <c r="C6" s="6" t="s">
        <v>40</v>
      </c>
      <c r="D6" s="6" t="s">
        <v>123</v>
      </c>
      <c r="E6" s="6" t="s">
        <v>59</v>
      </c>
      <c r="F6" s="6" t="s">
        <v>87</v>
      </c>
      <c r="G6" s="6" t="s">
        <v>73</v>
      </c>
      <c r="H6" s="6" t="s">
        <v>22</v>
      </c>
      <c r="I6" s="6" t="s">
        <v>63</v>
      </c>
      <c r="J6" s="6" t="s">
        <v>41</v>
      </c>
      <c r="K6" s="6" t="s">
        <v>22</v>
      </c>
      <c r="L6" s="6" t="s">
        <v>128</v>
      </c>
      <c r="M6" s="6" t="s">
        <v>68</v>
      </c>
      <c r="N6" s="6" t="s">
        <v>128</v>
      </c>
      <c r="O6" s="6" t="s">
        <v>42</v>
      </c>
      <c r="P6" s="6" t="s">
        <v>44</v>
      </c>
      <c r="Q6" s="8" t="s">
        <v>30</v>
      </c>
      <c r="R6" s="6" t="s">
        <v>42</v>
      </c>
      <c r="S6" s="6" t="s">
        <v>93</v>
      </c>
      <c r="T6" s="6" t="s">
        <v>50</v>
      </c>
      <c r="U6" s="6" t="s">
        <v>77</v>
      </c>
      <c r="V6" s="6" t="s">
        <v>132</v>
      </c>
      <c r="W6" s="6" t="s">
        <v>134</v>
      </c>
    </row>
    <row r="7">
      <c r="A7" s="6" t="s">
        <v>89</v>
      </c>
      <c r="B7" s="6" t="s">
        <v>90</v>
      </c>
      <c r="C7" s="6" t="s">
        <v>91</v>
      </c>
      <c r="D7" s="6" t="s">
        <v>136</v>
      </c>
      <c r="E7" s="6" t="s">
        <v>59</v>
      </c>
      <c r="F7" s="6" t="s">
        <v>60</v>
      </c>
      <c r="G7" s="6" t="s">
        <v>72</v>
      </c>
      <c r="H7" s="6" t="s">
        <v>138</v>
      </c>
      <c r="I7" s="6" t="s">
        <v>141</v>
      </c>
      <c r="J7" s="6" t="s">
        <v>41</v>
      </c>
      <c r="K7" s="6" t="s">
        <v>22</v>
      </c>
      <c r="L7" s="6" t="s">
        <v>142</v>
      </c>
      <c r="M7" s="6" t="s">
        <v>68</v>
      </c>
      <c r="N7" s="6" t="s">
        <v>142</v>
      </c>
      <c r="O7" s="6" t="s">
        <v>42</v>
      </c>
      <c r="P7" s="6" t="s">
        <v>44</v>
      </c>
      <c r="Q7" s="8" t="s">
        <v>30</v>
      </c>
      <c r="R7" s="6" t="s">
        <v>42</v>
      </c>
      <c r="S7" s="6" t="s">
        <v>75</v>
      </c>
      <c r="T7" s="6" t="s">
        <v>94</v>
      </c>
      <c r="U7" s="6" t="s">
        <v>77</v>
      </c>
      <c r="V7" s="6" t="s">
        <v>146</v>
      </c>
      <c r="W7" s="6" t="s">
        <v>80</v>
      </c>
    </row>
    <row r="8">
      <c r="A8" s="6" t="s">
        <v>95</v>
      </c>
      <c r="B8" s="6" t="s">
        <v>97</v>
      </c>
      <c r="C8" s="6" t="s">
        <v>91</v>
      </c>
      <c r="D8" s="6" t="s">
        <v>136</v>
      </c>
      <c r="E8" s="6" t="s">
        <v>147</v>
      </c>
      <c r="F8" s="6" t="s">
        <v>87</v>
      </c>
      <c r="G8" s="6" t="s">
        <v>72</v>
      </c>
      <c r="H8" s="6" t="s">
        <v>141</v>
      </c>
      <c r="I8" s="6" t="s">
        <v>141</v>
      </c>
      <c r="J8" s="6" t="s">
        <v>41</v>
      </c>
      <c r="K8" s="6" t="s">
        <v>22</v>
      </c>
      <c r="L8" s="6" t="s">
        <v>67</v>
      </c>
      <c r="M8" s="6" t="s">
        <v>68</v>
      </c>
      <c r="N8" s="6" t="s">
        <v>67</v>
      </c>
      <c r="O8" s="6" t="s">
        <v>42</v>
      </c>
      <c r="P8" s="6" t="s">
        <v>44</v>
      </c>
      <c r="Q8" s="8" t="s">
        <v>30</v>
      </c>
      <c r="R8" s="6" t="s">
        <v>42</v>
      </c>
      <c r="S8" s="6" t="s">
        <v>93</v>
      </c>
      <c r="T8" s="6" t="s">
        <v>94</v>
      </c>
      <c r="U8" s="6" t="s">
        <v>77</v>
      </c>
      <c r="V8" s="6" t="s">
        <v>152</v>
      </c>
      <c r="W8" s="6" t="s">
        <v>153</v>
      </c>
    </row>
    <row r="9">
      <c r="A9" s="6" t="s">
        <v>100</v>
      </c>
      <c r="B9" s="6" t="s">
        <v>102</v>
      </c>
      <c r="C9" s="6" t="s">
        <v>91</v>
      </c>
      <c r="D9" s="6" t="s">
        <v>154</v>
      </c>
      <c r="E9" s="6" t="s">
        <v>155</v>
      </c>
      <c r="F9" s="6" t="s">
        <v>87</v>
      </c>
      <c r="G9" s="6" t="s">
        <v>72</v>
      </c>
      <c r="H9" s="6" t="s">
        <v>141</v>
      </c>
      <c r="I9" s="6" t="s">
        <v>141</v>
      </c>
      <c r="J9" s="6" t="s">
        <v>41</v>
      </c>
      <c r="K9" s="6" t="s">
        <v>22</v>
      </c>
      <c r="L9" s="6" t="s">
        <v>160</v>
      </c>
      <c r="M9" s="6" t="s">
        <v>161</v>
      </c>
      <c r="N9" s="6" t="s">
        <v>160</v>
      </c>
      <c r="O9" s="6" t="s">
        <v>42</v>
      </c>
      <c r="P9" s="6" t="s">
        <v>103</v>
      </c>
      <c r="Q9" s="8" t="s">
        <v>30</v>
      </c>
      <c r="R9" s="6" t="s">
        <v>42</v>
      </c>
      <c r="S9" s="6" t="s">
        <v>93</v>
      </c>
      <c r="T9" s="6" t="s">
        <v>94</v>
      </c>
      <c r="U9" s="6" t="s">
        <v>77</v>
      </c>
      <c r="V9" s="6" t="s">
        <v>165</v>
      </c>
      <c r="W9" s="6" t="s">
        <v>166</v>
      </c>
    </row>
    <row r="10">
      <c r="A10" s="6" t="s">
        <v>106</v>
      </c>
      <c r="B10" s="6" t="s">
        <v>107</v>
      </c>
      <c r="C10" s="6" t="s">
        <v>108</v>
      </c>
      <c r="D10" s="6" t="s">
        <v>167</v>
      </c>
      <c r="E10" s="6" t="s">
        <v>155</v>
      </c>
      <c r="F10" s="6" t="s">
        <v>87</v>
      </c>
      <c r="G10" s="6" t="s">
        <v>110</v>
      </c>
      <c r="H10" s="6" t="s">
        <v>122</v>
      </c>
      <c r="I10" s="6" t="s">
        <v>170</v>
      </c>
      <c r="J10" s="6" t="s">
        <v>41</v>
      </c>
      <c r="K10" s="6" t="s">
        <v>22</v>
      </c>
      <c r="L10" s="6" t="s">
        <v>171</v>
      </c>
      <c r="M10" s="6" t="s">
        <v>68</v>
      </c>
      <c r="N10" s="6" t="s">
        <v>171</v>
      </c>
      <c r="O10" s="6" t="s">
        <v>42</v>
      </c>
      <c r="P10" s="6" t="s">
        <v>44</v>
      </c>
      <c r="Q10" s="8" t="s">
        <v>30</v>
      </c>
      <c r="R10" s="6" t="s">
        <v>42</v>
      </c>
      <c r="S10" s="6" t="s">
        <v>93</v>
      </c>
      <c r="T10" s="6" t="s">
        <v>110</v>
      </c>
      <c r="U10" s="6" t="s">
        <v>77</v>
      </c>
      <c r="V10" s="6" t="s">
        <v>173</v>
      </c>
      <c r="W10" s="6" t="s">
        <v>174</v>
      </c>
    </row>
    <row r="11">
      <c r="A11" s="6" t="s">
        <v>113</v>
      </c>
      <c r="B11" s="6" t="s">
        <v>114</v>
      </c>
      <c r="C11" s="6" t="s">
        <v>108</v>
      </c>
      <c r="D11" s="6" t="s">
        <v>176</v>
      </c>
      <c r="E11" s="6" t="s">
        <v>59</v>
      </c>
      <c r="F11" s="6" t="s">
        <v>87</v>
      </c>
      <c r="G11" s="6" t="s">
        <v>110</v>
      </c>
      <c r="H11" s="6" t="s">
        <v>170</v>
      </c>
      <c r="I11" s="6" t="s">
        <v>170</v>
      </c>
      <c r="J11" s="6" t="s">
        <v>41</v>
      </c>
      <c r="K11" s="6" t="s">
        <v>22</v>
      </c>
      <c r="L11" s="6" t="s">
        <v>178</v>
      </c>
      <c r="M11" s="6" t="s">
        <v>68</v>
      </c>
      <c r="N11" s="6" t="s">
        <v>178</v>
      </c>
      <c r="O11" s="6" t="s">
        <v>42</v>
      </c>
      <c r="P11" s="6" t="s">
        <v>44</v>
      </c>
      <c r="Q11" s="8" t="s">
        <v>30</v>
      </c>
      <c r="R11" s="6" t="s">
        <v>42</v>
      </c>
      <c r="S11" s="6" t="s">
        <v>93</v>
      </c>
      <c r="T11" s="6" t="s">
        <v>110</v>
      </c>
      <c r="U11" s="6" t="s">
        <v>77</v>
      </c>
      <c r="V11" s="6" t="s">
        <v>181</v>
      </c>
      <c r="W11" s="6" t="s">
        <v>182</v>
      </c>
    </row>
    <row r="12">
      <c r="A12" s="6" t="s">
        <v>116</v>
      </c>
      <c r="B12" s="6" t="s">
        <v>117</v>
      </c>
      <c r="C12" s="6" t="s">
        <v>118</v>
      </c>
      <c r="D12" s="6" t="s">
        <v>185</v>
      </c>
      <c r="E12" s="6" t="s">
        <v>66</v>
      </c>
      <c r="F12" s="6" t="s">
        <v>87</v>
      </c>
      <c r="G12" s="6" t="s">
        <v>119</v>
      </c>
      <c r="H12" s="6" t="s">
        <v>135</v>
      </c>
      <c r="I12" s="6" t="s">
        <v>135</v>
      </c>
      <c r="J12" s="6" t="s">
        <v>122</v>
      </c>
      <c r="K12" s="6" t="s">
        <v>22</v>
      </c>
      <c r="L12" s="6" t="s">
        <v>187</v>
      </c>
      <c r="M12" s="6" t="s">
        <v>68</v>
      </c>
      <c r="N12" s="6" t="s">
        <v>187</v>
      </c>
      <c r="O12" s="6" t="s">
        <v>42</v>
      </c>
      <c r="P12" s="6" t="s">
        <v>44</v>
      </c>
      <c r="Q12" s="8" t="s">
        <v>30</v>
      </c>
      <c r="R12" s="6" t="s">
        <v>42</v>
      </c>
      <c r="S12" s="6" t="s">
        <v>93</v>
      </c>
      <c r="T12" s="6" t="s">
        <v>122</v>
      </c>
      <c r="U12" s="6" t="s">
        <v>77</v>
      </c>
      <c r="V12" s="6" t="s">
        <v>190</v>
      </c>
      <c r="W12" s="6" t="s">
        <v>191</v>
      </c>
    </row>
    <row r="13">
      <c r="A13" s="6" t="s">
        <v>124</v>
      </c>
      <c r="B13" s="6" t="s">
        <v>125</v>
      </c>
      <c r="C13" s="6" t="s">
        <v>118</v>
      </c>
      <c r="D13" s="6" t="s">
        <v>192</v>
      </c>
      <c r="E13" s="6" t="s">
        <v>194</v>
      </c>
      <c r="F13" s="6" t="s">
        <v>87</v>
      </c>
      <c r="G13" s="6" t="s">
        <v>127</v>
      </c>
      <c r="H13" s="6" t="s">
        <v>197</v>
      </c>
      <c r="I13" s="6" t="s">
        <v>135</v>
      </c>
      <c r="J13" s="6" t="s">
        <v>122</v>
      </c>
      <c r="K13" s="6" t="s">
        <v>22</v>
      </c>
      <c r="L13" s="6" t="s">
        <v>199</v>
      </c>
      <c r="M13" s="6" t="s">
        <v>161</v>
      </c>
      <c r="N13" s="6" t="s">
        <v>199</v>
      </c>
      <c r="O13" s="6" t="s">
        <v>42</v>
      </c>
      <c r="P13" s="6" t="s">
        <v>103</v>
      </c>
      <c r="Q13" s="8" t="s">
        <v>30</v>
      </c>
      <c r="R13" s="6" t="s">
        <v>42</v>
      </c>
      <c r="S13" s="6" t="s">
        <v>93</v>
      </c>
      <c r="T13" s="6" t="s">
        <v>122</v>
      </c>
      <c r="U13" s="6" t="s">
        <v>77</v>
      </c>
      <c r="V13" s="6" t="s">
        <v>202</v>
      </c>
      <c r="W13" s="6" t="s">
        <v>204</v>
      </c>
    </row>
    <row r="14">
      <c r="A14" s="6" t="s">
        <v>130</v>
      </c>
      <c r="B14" s="6" t="s">
        <v>131</v>
      </c>
      <c r="C14" s="6" t="s">
        <v>118</v>
      </c>
      <c r="D14" s="6" t="s">
        <v>192</v>
      </c>
      <c r="E14" s="6" t="s">
        <v>205</v>
      </c>
      <c r="F14" s="6" t="s">
        <v>87</v>
      </c>
      <c r="G14" s="6" t="s">
        <v>135</v>
      </c>
      <c r="H14" s="6" t="s">
        <v>127</v>
      </c>
      <c r="I14" s="6" t="s">
        <v>135</v>
      </c>
      <c r="J14" s="6" t="s">
        <v>122</v>
      </c>
      <c r="K14" s="6" t="s">
        <v>22</v>
      </c>
      <c r="L14" s="6" t="s">
        <v>187</v>
      </c>
      <c r="M14" s="6" t="s">
        <v>68</v>
      </c>
      <c r="N14" s="6" t="s">
        <v>187</v>
      </c>
      <c r="O14" s="6" t="s">
        <v>42</v>
      </c>
      <c r="P14" s="6" t="s">
        <v>44</v>
      </c>
      <c r="Q14" s="8" t="s">
        <v>30</v>
      </c>
      <c r="R14" s="6" t="s">
        <v>42</v>
      </c>
      <c r="S14" s="6" t="s">
        <v>93</v>
      </c>
      <c r="T14" s="6" t="s">
        <v>122</v>
      </c>
      <c r="U14" s="6" t="s">
        <v>77</v>
      </c>
      <c r="V14" s="6" t="s">
        <v>210</v>
      </c>
      <c r="W14" s="6" t="s">
        <v>211</v>
      </c>
    </row>
    <row r="15">
      <c r="A15" s="6" t="s">
        <v>139</v>
      </c>
      <c r="B15" s="6" t="s">
        <v>140</v>
      </c>
      <c r="C15" s="6" t="s">
        <v>118</v>
      </c>
      <c r="D15" s="6" t="s">
        <v>167</v>
      </c>
      <c r="E15" s="6" t="s">
        <v>59</v>
      </c>
      <c r="F15" s="6" t="s">
        <v>87</v>
      </c>
      <c r="G15" s="6" t="s">
        <v>122</v>
      </c>
      <c r="H15" s="6" t="s">
        <v>135</v>
      </c>
      <c r="I15" s="6" t="s">
        <v>135</v>
      </c>
      <c r="J15" s="6" t="s">
        <v>122</v>
      </c>
      <c r="K15" s="6" t="s">
        <v>22</v>
      </c>
      <c r="L15" s="6" t="s">
        <v>214</v>
      </c>
      <c r="M15" s="6" t="s">
        <v>68</v>
      </c>
      <c r="N15" s="6" t="s">
        <v>214</v>
      </c>
      <c r="O15" s="6" t="s">
        <v>42</v>
      </c>
      <c r="P15" s="6" t="s">
        <v>44</v>
      </c>
      <c r="Q15" s="8" t="s">
        <v>30</v>
      </c>
      <c r="R15" s="6" t="s">
        <v>42</v>
      </c>
      <c r="S15" s="6" t="s">
        <v>93</v>
      </c>
      <c r="T15" s="6" t="s">
        <v>122</v>
      </c>
      <c r="U15" s="6" t="s">
        <v>77</v>
      </c>
      <c r="V15" s="6" t="s">
        <v>217</v>
      </c>
      <c r="W15" s="6" t="s">
        <v>182</v>
      </c>
    </row>
    <row r="16">
      <c r="A16" s="6" t="s">
        <v>143</v>
      </c>
      <c r="B16" s="6" t="s">
        <v>144</v>
      </c>
      <c r="C16" s="6" t="s">
        <v>145</v>
      </c>
      <c r="D16" s="6" t="s">
        <v>218</v>
      </c>
      <c r="E16" s="6" t="s">
        <v>219</v>
      </c>
      <c r="F16" s="6" t="s">
        <v>87</v>
      </c>
      <c r="G16" s="6" t="s">
        <v>63</v>
      </c>
      <c r="H16" s="6" t="s">
        <v>222</v>
      </c>
      <c r="I16" s="6" t="s">
        <v>197</v>
      </c>
      <c r="J16" s="6" t="s">
        <v>172</v>
      </c>
      <c r="K16" s="6" t="s">
        <v>22</v>
      </c>
      <c r="L16" s="6" t="s">
        <v>67</v>
      </c>
      <c r="M16" s="6" t="s">
        <v>68</v>
      </c>
      <c r="N16" s="6" t="s">
        <v>67</v>
      </c>
      <c r="O16" s="6" t="s">
        <v>42</v>
      </c>
      <c r="P16" s="6" t="s">
        <v>44</v>
      </c>
      <c r="Q16" s="8" t="s">
        <v>30</v>
      </c>
      <c r="R16" s="6" t="s">
        <v>42</v>
      </c>
      <c r="S16" s="6" t="s">
        <v>93</v>
      </c>
      <c r="T16" s="6" t="s">
        <v>50</v>
      </c>
      <c r="U16" s="6" t="s">
        <v>77</v>
      </c>
      <c r="V16" s="6" t="s">
        <v>226</v>
      </c>
      <c r="W16" s="6" t="s">
        <v>227</v>
      </c>
    </row>
    <row r="17">
      <c r="A17" s="6" t="s">
        <v>148</v>
      </c>
      <c r="B17" s="6" t="s">
        <v>149</v>
      </c>
      <c r="C17" s="6" t="s">
        <v>145</v>
      </c>
      <c r="D17" s="6" t="s">
        <v>229</v>
      </c>
      <c r="E17" s="6" t="s">
        <v>59</v>
      </c>
      <c r="F17" s="6" t="s">
        <v>87</v>
      </c>
      <c r="G17" s="6" t="s">
        <v>63</v>
      </c>
      <c r="H17" s="6" t="s">
        <v>197</v>
      </c>
      <c r="I17" s="6" t="s">
        <v>197</v>
      </c>
      <c r="J17" s="6" t="s">
        <v>172</v>
      </c>
      <c r="K17" s="6" t="s">
        <v>22</v>
      </c>
      <c r="L17" s="6" t="s">
        <v>233</v>
      </c>
      <c r="M17" s="6" t="s">
        <v>68</v>
      </c>
      <c r="N17" s="6" t="s">
        <v>233</v>
      </c>
      <c r="O17" s="6" t="s">
        <v>42</v>
      </c>
      <c r="P17" s="6" t="s">
        <v>44</v>
      </c>
      <c r="Q17" s="8" t="s">
        <v>30</v>
      </c>
      <c r="R17" s="6" t="s">
        <v>42</v>
      </c>
      <c r="S17" s="6" t="s">
        <v>93</v>
      </c>
      <c r="T17" s="6" t="s">
        <v>50</v>
      </c>
      <c r="U17" s="6" t="s">
        <v>77</v>
      </c>
      <c r="V17" s="6" t="s">
        <v>238</v>
      </c>
      <c r="W17" s="6" t="s">
        <v>241</v>
      </c>
    </row>
    <row r="18">
      <c r="A18" s="6" t="s">
        <v>150</v>
      </c>
      <c r="B18" s="6" t="s">
        <v>151</v>
      </c>
      <c r="C18" s="6" t="s">
        <v>145</v>
      </c>
      <c r="D18" s="6" t="s">
        <v>167</v>
      </c>
      <c r="E18" s="6" t="s">
        <v>59</v>
      </c>
      <c r="F18" s="6" t="s">
        <v>87</v>
      </c>
      <c r="G18" s="6" t="s">
        <v>63</v>
      </c>
      <c r="H18" s="6" t="s">
        <v>122</v>
      </c>
      <c r="I18" s="6" t="s">
        <v>197</v>
      </c>
      <c r="J18" s="6" t="s">
        <v>172</v>
      </c>
      <c r="K18" s="6" t="s">
        <v>22</v>
      </c>
      <c r="L18" s="6" t="s">
        <v>242</v>
      </c>
      <c r="M18" s="6" t="s">
        <v>161</v>
      </c>
      <c r="N18" s="6" t="s">
        <v>242</v>
      </c>
      <c r="O18" s="6" t="s">
        <v>42</v>
      </c>
      <c r="P18" s="6" t="s">
        <v>103</v>
      </c>
      <c r="Q18" s="8" t="s">
        <v>30</v>
      </c>
      <c r="R18" s="6" t="s">
        <v>42</v>
      </c>
      <c r="S18" s="6" t="s">
        <v>93</v>
      </c>
      <c r="T18" s="6" t="s">
        <v>50</v>
      </c>
      <c r="U18" s="6" t="s">
        <v>77</v>
      </c>
      <c r="V18" s="6" t="s">
        <v>243</v>
      </c>
      <c r="W18" s="6" t="s">
        <v>244</v>
      </c>
    </row>
    <row r="19">
      <c r="A19" s="6" t="s">
        <v>156</v>
      </c>
      <c r="B19" s="6" t="s">
        <v>157</v>
      </c>
      <c r="C19" s="6" t="s">
        <v>158</v>
      </c>
      <c r="D19" s="6" t="s">
        <v>245</v>
      </c>
      <c r="E19" s="6" t="s">
        <v>246</v>
      </c>
      <c r="F19" s="6" t="s">
        <v>87</v>
      </c>
      <c r="G19" s="6" t="s">
        <v>159</v>
      </c>
      <c r="H19" s="6" t="s">
        <v>22</v>
      </c>
      <c r="I19" s="6" t="s">
        <v>84</v>
      </c>
      <c r="J19" s="6" t="s">
        <v>162</v>
      </c>
      <c r="K19" s="6" t="s">
        <v>22</v>
      </c>
      <c r="L19" s="6" t="s">
        <v>247</v>
      </c>
      <c r="M19" s="6" t="s">
        <v>68</v>
      </c>
      <c r="N19" s="6" t="s">
        <v>247</v>
      </c>
      <c r="O19" s="6" t="s">
        <v>42</v>
      </c>
      <c r="P19" s="6" t="s">
        <v>44</v>
      </c>
      <c r="Q19" s="8" t="s">
        <v>30</v>
      </c>
      <c r="R19" s="6" t="s">
        <v>42</v>
      </c>
      <c r="S19" s="6" t="s">
        <v>93</v>
      </c>
      <c r="T19" s="6" t="s">
        <v>162</v>
      </c>
      <c r="U19" s="6" t="s">
        <v>77</v>
      </c>
      <c r="V19" s="6" t="s">
        <v>248</v>
      </c>
      <c r="W19" s="6" t="s">
        <v>249</v>
      </c>
    </row>
    <row r="20">
      <c r="A20" s="6" t="s">
        <v>163</v>
      </c>
      <c r="B20" s="6" t="s">
        <v>164</v>
      </c>
      <c r="C20" s="6" t="s">
        <v>158</v>
      </c>
      <c r="D20" s="6" t="s">
        <v>250</v>
      </c>
      <c r="E20" s="6" t="s">
        <v>59</v>
      </c>
      <c r="F20" s="6" t="s">
        <v>87</v>
      </c>
      <c r="G20" s="6" t="s">
        <v>159</v>
      </c>
      <c r="H20" s="6" t="s">
        <v>84</v>
      </c>
      <c r="I20" s="6" t="s">
        <v>84</v>
      </c>
      <c r="J20" s="6" t="s">
        <v>162</v>
      </c>
      <c r="K20" s="6" t="s">
        <v>22</v>
      </c>
      <c r="L20" s="6" t="s">
        <v>251</v>
      </c>
      <c r="M20" s="6" t="s">
        <v>161</v>
      </c>
      <c r="N20" s="6" t="s">
        <v>251</v>
      </c>
      <c r="O20" s="6" t="s">
        <v>42</v>
      </c>
      <c r="P20" s="6" t="s">
        <v>103</v>
      </c>
      <c r="Q20" s="8" t="s">
        <v>30</v>
      </c>
      <c r="R20" s="6" t="s">
        <v>42</v>
      </c>
      <c r="S20" s="6" t="s">
        <v>93</v>
      </c>
      <c r="T20" s="6" t="s">
        <v>162</v>
      </c>
      <c r="U20" s="6" t="s">
        <v>77</v>
      </c>
      <c r="V20" s="6" t="s">
        <v>252</v>
      </c>
      <c r="W20" s="6" t="s">
        <v>241</v>
      </c>
    </row>
    <row r="21" ht="15.75" customHeight="1">
      <c r="A21" s="6" t="s">
        <v>168</v>
      </c>
      <c r="B21" s="6" t="s">
        <v>169</v>
      </c>
      <c r="C21" s="6" t="s">
        <v>61</v>
      </c>
      <c r="D21" s="6" t="s">
        <v>253</v>
      </c>
      <c r="E21" s="6" t="s">
        <v>194</v>
      </c>
      <c r="F21" s="6" t="s">
        <v>87</v>
      </c>
      <c r="G21" s="6" t="s">
        <v>22</v>
      </c>
      <c r="H21" s="6" t="s">
        <v>73</v>
      </c>
      <c r="I21" s="6" t="s">
        <v>73</v>
      </c>
      <c r="J21" s="6" t="s">
        <v>172</v>
      </c>
      <c r="K21" s="6" t="s">
        <v>22</v>
      </c>
      <c r="L21" s="6" t="s">
        <v>254</v>
      </c>
      <c r="M21" s="6" t="s">
        <v>68</v>
      </c>
      <c r="N21" s="6" t="s">
        <v>254</v>
      </c>
      <c r="O21" s="6" t="s">
        <v>42</v>
      </c>
      <c r="P21" s="6" t="s">
        <v>44</v>
      </c>
      <c r="Q21" s="8" t="s">
        <v>30</v>
      </c>
      <c r="R21" s="6" t="s">
        <v>42</v>
      </c>
      <c r="S21" s="6" t="s">
        <v>93</v>
      </c>
      <c r="T21" s="6" t="s">
        <v>172</v>
      </c>
      <c r="U21" s="6" t="s">
        <v>77</v>
      </c>
      <c r="V21" s="6" t="s">
        <v>255</v>
      </c>
      <c r="W21" s="6" t="s">
        <v>256</v>
      </c>
    </row>
    <row r="22" ht="15.75" customHeight="1">
      <c r="A22" s="6" t="s">
        <v>49</v>
      </c>
      <c r="B22" s="6" t="s">
        <v>56</v>
      </c>
      <c r="C22" s="6" t="s">
        <v>61</v>
      </c>
      <c r="D22" s="6" t="s">
        <v>257</v>
      </c>
      <c r="E22" s="6" t="s">
        <v>66</v>
      </c>
      <c r="F22" s="6" t="s">
        <v>87</v>
      </c>
      <c r="G22" s="6" t="s">
        <v>22</v>
      </c>
      <c r="H22" s="6" t="s">
        <v>92</v>
      </c>
      <c r="I22" s="6" t="s">
        <v>73</v>
      </c>
      <c r="J22" s="6" t="s">
        <v>172</v>
      </c>
      <c r="K22" s="6" t="s">
        <v>22</v>
      </c>
      <c r="L22" s="6" t="s">
        <v>101</v>
      </c>
      <c r="M22" s="6" t="s">
        <v>68</v>
      </c>
      <c r="N22" s="6" t="s">
        <v>101</v>
      </c>
      <c r="O22" s="6" t="s">
        <v>42</v>
      </c>
      <c r="P22" s="6" t="s">
        <v>44</v>
      </c>
      <c r="Q22" s="8" t="s">
        <v>30</v>
      </c>
      <c r="R22" s="6" t="s">
        <v>42</v>
      </c>
      <c r="S22" s="6" t="s">
        <v>93</v>
      </c>
      <c r="T22" s="6" t="s">
        <v>172</v>
      </c>
      <c r="U22" s="6" t="s">
        <v>77</v>
      </c>
      <c r="V22" s="6" t="s">
        <v>258</v>
      </c>
      <c r="W22" s="6" t="s">
        <v>259</v>
      </c>
    </row>
    <row r="23" ht="15.75" customHeight="1">
      <c r="A23" s="6" t="s">
        <v>175</v>
      </c>
      <c r="B23" s="6" t="s">
        <v>177</v>
      </c>
      <c r="C23" s="6" t="s">
        <v>61</v>
      </c>
      <c r="D23" s="6" t="s">
        <v>260</v>
      </c>
      <c r="E23" s="6" t="s">
        <v>147</v>
      </c>
      <c r="F23" s="6" t="s">
        <v>87</v>
      </c>
      <c r="G23" s="6" t="s">
        <v>73</v>
      </c>
      <c r="H23" s="6" t="s">
        <v>22</v>
      </c>
      <c r="I23" s="6" t="s">
        <v>73</v>
      </c>
      <c r="J23" s="6" t="s">
        <v>172</v>
      </c>
      <c r="K23" s="6" t="s">
        <v>22</v>
      </c>
      <c r="L23" s="6" t="s">
        <v>261</v>
      </c>
      <c r="M23" s="6" t="s">
        <v>68</v>
      </c>
      <c r="N23" s="6" t="s">
        <v>261</v>
      </c>
      <c r="O23" s="6" t="s">
        <v>42</v>
      </c>
      <c r="P23" s="6" t="s">
        <v>44</v>
      </c>
      <c r="Q23" s="8" t="s">
        <v>30</v>
      </c>
      <c r="R23" s="6" t="s">
        <v>42</v>
      </c>
      <c r="S23" s="6" t="s">
        <v>93</v>
      </c>
      <c r="T23" s="6" t="s">
        <v>172</v>
      </c>
      <c r="U23" s="6" t="s">
        <v>77</v>
      </c>
      <c r="V23" s="6" t="s">
        <v>262</v>
      </c>
      <c r="W23" s="6" t="s">
        <v>263</v>
      </c>
    </row>
    <row r="24" ht="15.75" customHeight="1">
      <c r="A24" s="6" t="s">
        <v>179</v>
      </c>
      <c r="B24" s="6" t="s">
        <v>180</v>
      </c>
      <c r="C24" s="6" t="s">
        <v>61</v>
      </c>
      <c r="D24" s="6" t="s">
        <v>264</v>
      </c>
      <c r="E24" s="6" t="s">
        <v>147</v>
      </c>
      <c r="F24" s="6" t="s">
        <v>87</v>
      </c>
      <c r="G24" s="6" t="s">
        <v>63</v>
      </c>
      <c r="H24" s="6" t="s">
        <v>73</v>
      </c>
      <c r="I24" s="6" t="s">
        <v>73</v>
      </c>
      <c r="J24" s="6" t="s">
        <v>172</v>
      </c>
      <c r="K24" s="6" t="s">
        <v>22</v>
      </c>
      <c r="L24" s="6" t="s">
        <v>261</v>
      </c>
      <c r="M24" s="6" t="s">
        <v>68</v>
      </c>
      <c r="N24" s="6" t="s">
        <v>261</v>
      </c>
      <c r="O24" s="6" t="s">
        <v>42</v>
      </c>
      <c r="P24" s="6" t="s">
        <v>44</v>
      </c>
      <c r="Q24" s="8" t="s">
        <v>30</v>
      </c>
      <c r="R24" s="6" t="s">
        <v>42</v>
      </c>
      <c r="S24" s="6" t="s">
        <v>93</v>
      </c>
      <c r="T24" s="6" t="s">
        <v>172</v>
      </c>
      <c r="U24" s="6" t="s">
        <v>77</v>
      </c>
      <c r="V24" s="6" t="s">
        <v>265</v>
      </c>
      <c r="W24" s="6" t="s">
        <v>266</v>
      </c>
    </row>
    <row r="25" ht="15.75" customHeight="1">
      <c r="A25" s="6" t="s">
        <v>183</v>
      </c>
      <c r="B25" s="6" t="s">
        <v>184</v>
      </c>
      <c r="C25" s="6" t="s">
        <v>61</v>
      </c>
      <c r="D25" s="6" t="s">
        <v>267</v>
      </c>
      <c r="E25" s="6" t="s">
        <v>147</v>
      </c>
      <c r="F25" s="6" t="s">
        <v>87</v>
      </c>
      <c r="G25" s="6" t="s">
        <v>84</v>
      </c>
      <c r="H25" s="6" t="s">
        <v>22</v>
      </c>
      <c r="I25" s="6" t="s">
        <v>73</v>
      </c>
      <c r="J25" s="6" t="s">
        <v>172</v>
      </c>
      <c r="K25" s="6" t="s">
        <v>22</v>
      </c>
      <c r="L25" s="6" t="s">
        <v>268</v>
      </c>
      <c r="M25" s="6" t="s">
        <v>161</v>
      </c>
      <c r="N25" s="6" t="s">
        <v>268</v>
      </c>
      <c r="O25" s="6" t="s">
        <v>42</v>
      </c>
      <c r="P25" s="6" t="s">
        <v>103</v>
      </c>
      <c r="Q25" s="8" t="s">
        <v>30</v>
      </c>
      <c r="R25" s="6" t="s">
        <v>42</v>
      </c>
      <c r="S25" s="6" t="s">
        <v>93</v>
      </c>
      <c r="T25" s="6" t="s">
        <v>172</v>
      </c>
      <c r="U25" s="6" t="s">
        <v>77</v>
      </c>
      <c r="V25" s="6" t="s">
        <v>269</v>
      </c>
      <c r="W25" s="6" t="s">
        <v>270</v>
      </c>
    </row>
    <row r="26" ht="15.75" customHeight="1">
      <c r="A26" s="6" t="s">
        <v>188</v>
      </c>
      <c r="B26" s="6" t="s">
        <v>189</v>
      </c>
      <c r="C26" s="6" t="s">
        <v>40</v>
      </c>
      <c r="D26" s="6" t="s">
        <v>271</v>
      </c>
      <c r="E26" s="6" t="s">
        <v>147</v>
      </c>
      <c r="F26" s="6" t="s">
        <v>87</v>
      </c>
      <c r="G26" s="6" t="s">
        <v>41</v>
      </c>
      <c r="H26" s="6" t="s">
        <v>73</v>
      </c>
      <c r="I26" s="6" t="s">
        <v>63</v>
      </c>
      <c r="J26" s="6" t="s">
        <v>41</v>
      </c>
      <c r="K26" s="6" t="s">
        <v>22</v>
      </c>
      <c r="L26" s="6" t="s">
        <v>128</v>
      </c>
      <c r="M26" s="6" t="s">
        <v>68</v>
      </c>
      <c r="N26" s="6" t="s">
        <v>128</v>
      </c>
      <c r="O26" s="6" t="s">
        <v>74</v>
      </c>
      <c r="P26" s="6" t="s">
        <v>44</v>
      </c>
      <c r="Q26" s="8" t="s">
        <v>186</v>
      </c>
      <c r="R26" s="6" t="s">
        <v>74</v>
      </c>
      <c r="S26" s="6" t="s">
        <v>93</v>
      </c>
      <c r="T26" s="6" t="s">
        <v>50</v>
      </c>
      <c r="U26" s="6" t="s">
        <v>77</v>
      </c>
      <c r="V26" s="6" t="s">
        <v>272</v>
      </c>
      <c r="W26" s="6" t="s">
        <v>273</v>
      </c>
    </row>
    <row r="27" ht="15.75" customHeight="1">
      <c r="A27" s="6" t="s">
        <v>193</v>
      </c>
      <c r="B27" s="6" t="s">
        <v>195</v>
      </c>
      <c r="C27" s="6" t="s">
        <v>40</v>
      </c>
      <c r="D27" s="6" t="s">
        <v>274</v>
      </c>
      <c r="E27" s="6" t="s">
        <v>147</v>
      </c>
      <c r="F27" s="6" t="s">
        <v>87</v>
      </c>
      <c r="G27" s="6" t="s">
        <v>73</v>
      </c>
      <c r="H27" s="6" t="s">
        <v>22</v>
      </c>
      <c r="I27" s="6" t="s">
        <v>63</v>
      </c>
      <c r="J27" s="6" t="s">
        <v>41</v>
      </c>
      <c r="K27" s="6" t="s">
        <v>22</v>
      </c>
      <c r="L27" s="6" t="s">
        <v>67</v>
      </c>
      <c r="M27" s="6" t="s">
        <v>68</v>
      </c>
      <c r="N27" s="6" t="s">
        <v>67</v>
      </c>
      <c r="O27" s="6" t="s">
        <v>196</v>
      </c>
      <c r="P27" s="6" t="s">
        <v>44</v>
      </c>
      <c r="Q27" s="8" t="s">
        <v>186</v>
      </c>
      <c r="R27" s="6" t="s">
        <v>275</v>
      </c>
      <c r="S27" s="6" t="s">
        <v>93</v>
      </c>
      <c r="T27" s="6" t="s">
        <v>50</v>
      </c>
      <c r="U27" s="6" t="s">
        <v>77</v>
      </c>
      <c r="V27" s="6" t="s">
        <v>276</v>
      </c>
      <c r="W27" s="6" t="s">
        <v>277</v>
      </c>
    </row>
    <row r="28" ht="15.75" customHeight="1">
      <c r="A28" s="6" t="s">
        <v>198</v>
      </c>
      <c r="B28" s="6" t="s">
        <v>200</v>
      </c>
      <c r="C28" s="6" t="s">
        <v>40</v>
      </c>
      <c r="D28" s="6" t="s">
        <v>278</v>
      </c>
      <c r="E28" s="6" t="s">
        <v>147</v>
      </c>
      <c r="F28" s="6" t="s">
        <v>87</v>
      </c>
      <c r="G28" s="6" t="s">
        <v>41</v>
      </c>
      <c r="H28" s="6" t="s">
        <v>197</v>
      </c>
      <c r="I28" s="6" t="s">
        <v>63</v>
      </c>
      <c r="J28" s="6" t="s">
        <v>41</v>
      </c>
      <c r="K28" s="6" t="s">
        <v>22</v>
      </c>
      <c r="L28" s="6" t="s">
        <v>67</v>
      </c>
      <c r="M28" s="6" t="s">
        <v>68</v>
      </c>
      <c r="N28" s="6" t="s">
        <v>67</v>
      </c>
      <c r="O28" s="6" t="s">
        <v>74</v>
      </c>
      <c r="P28" s="6" t="s">
        <v>44</v>
      </c>
      <c r="Q28" s="8" t="s">
        <v>186</v>
      </c>
      <c r="R28" s="6" t="s">
        <v>74</v>
      </c>
      <c r="S28" s="6" t="s">
        <v>93</v>
      </c>
      <c r="T28" s="6" t="s">
        <v>50</v>
      </c>
      <c r="U28" s="6" t="s">
        <v>77</v>
      </c>
      <c r="V28" s="6" t="s">
        <v>279</v>
      </c>
      <c r="W28" s="6" t="s">
        <v>280</v>
      </c>
    </row>
    <row r="29" ht="15.75" customHeight="1">
      <c r="A29" s="6" t="s">
        <v>201</v>
      </c>
      <c r="B29" s="6" t="s">
        <v>203</v>
      </c>
      <c r="C29" s="6" t="s">
        <v>145</v>
      </c>
      <c r="D29" s="6" t="s">
        <v>281</v>
      </c>
      <c r="E29" s="6" t="s">
        <v>147</v>
      </c>
      <c r="F29" s="6" t="s">
        <v>87</v>
      </c>
      <c r="G29" s="6" t="s">
        <v>63</v>
      </c>
      <c r="H29" s="6" t="s">
        <v>122</v>
      </c>
      <c r="I29" s="6" t="s">
        <v>197</v>
      </c>
      <c r="J29" s="6" t="s">
        <v>172</v>
      </c>
      <c r="K29" s="6" t="s">
        <v>22</v>
      </c>
      <c r="L29" s="6" t="s">
        <v>282</v>
      </c>
      <c r="M29" s="6" t="s">
        <v>68</v>
      </c>
      <c r="N29" s="6" t="s">
        <v>282</v>
      </c>
      <c r="O29" s="6" t="s">
        <v>196</v>
      </c>
      <c r="P29" s="6" t="s">
        <v>44</v>
      </c>
      <c r="Q29" s="8" t="s">
        <v>186</v>
      </c>
      <c r="R29" s="6" t="s">
        <v>275</v>
      </c>
      <c r="S29" s="6" t="s">
        <v>93</v>
      </c>
      <c r="T29" s="6" t="s">
        <v>50</v>
      </c>
      <c r="U29" s="6" t="s">
        <v>77</v>
      </c>
      <c r="V29" s="6" t="s">
        <v>283</v>
      </c>
      <c r="W29" s="6" t="s">
        <v>284</v>
      </c>
    </row>
    <row r="30" ht="15.75" customHeight="1">
      <c r="A30" s="6" t="s">
        <v>206</v>
      </c>
      <c r="B30" s="6" t="s">
        <v>207</v>
      </c>
      <c r="C30" s="6" t="s">
        <v>145</v>
      </c>
      <c r="D30" s="6" t="s">
        <v>285</v>
      </c>
      <c r="E30" s="6" t="s">
        <v>147</v>
      </c>
      <c r="F30" s="6" t="s">
        <v>87</v>
      </c>
      <c r="G30" s="6" t="s">
        <v>63</v>
      </c>
      <c r="H30" s="6" t="s">
        <v>73</v>
      </c>
      <c r="I30" s="6" t="s">
        <v>197</v>
      </c>
      <c r="J30" s="6" t="s">
        <v>172</v>
      </c>
      <c r="K30" s="6" t="s">
        <v>22</v>
      </c>
      <c r="L30" s="6" t="s">
        <v>67</v>
      </c>
      <c r="M30" s="6" t="s">
        <v>68</v>
      </c>
      <c r="N30" s="6" t="s">
        <v>67</v>
      </c>
      <c r="O30" s="6" t="s">
        <v>196</v>
      </c>
      <c r="P30" s="6" t="s">
        <v>44</v>
      </c>
      <c r="Q30" s="8" t="s">
        <v>186</v>
      </c>
      <c r="R30" s="6" t="s">
        <v>275</v>
      </c>
      <c r="S30" s="6" t="s">
        <v>93</v>
      </c>
      <c r="T30" s="6" t="s">
        <v>50</v>
      </c>
      <c r="U30" s="6" t="s">
        <v>77</v>
      </c>
      <c r="V30" s="6" t="s">
        <v>286</v>
      </c>
      <c r="W30" s="6" t="s">
        <v>287</v>
      </c>
    </row>
    <row r="31" ht="15.75" customHeight="1">
      <c r="A31" s="6" t="s">
        <v>208</v>
      </c>
      <c r="B31" s="6" t="s">
        <v>209</v>
      </c>
      <c r="C31" s="6" t="s">
        <v>118</v>
      </c>
      <c r="D31" s="6" t="s">
        <v>167</v>
      </c>
      <c r="E31" s="6" t="s">
        <v>147</v>
      </c>
      <c r="F31" s="6" t="s">
        <v>87</v>
      </c>
      <c r="G31" s="6" t="s">
        <v>119</v>
      </c>
      <c r="H31" s="6" t="s">
        <v>135</v>
      </c>
      <c r="I31" s="6" t="s">
        <v>135</v>
      </c>
      <c r="J31" s="6" t="s">
        <v>122</v>
      </c>
      <c r="K31" s="6" t="s">
        <v>22</v>
      </c>
      <c r="L31" s="6" t="s">
        <v>187</v>
      </c>
      <c r="M31" s="6" t="s">
        <v>68</v>
      </c>
      <c r="N31" s="6" t="s">
        <v>187</v>
      </c>
      <c r="O31" s="6" t="s">
        <v>196</v>
      </c>
      <c r="P31" s="6" t="s">
        <v>44</v>
      </c>
      <c r="Q31" s="8" t="s">
        <v>186</v>
      </c>
      <c r="R31" s="6" t="s">
        <v>275</v>
      </c>
      <c r="S31" s="6" t="s">
        <v>93</v>
      </c>
      <c r="T31" s="6" t="s">
        <v>122</v>
      </c>
      <c r="U31" s="6" t="s">
        <v>77</v>
      </c>
      <c r="V31" s="6" t="s">
        <v>288</v>
      </c>
      <c r="W31" s="6" t="s">
        <v>289</v>
      </c>
    </row>
    <row r="32" ht="15.75" customHeight="1">
      <c r="A32" s="6" t="s">
        <v>212</v>
      </c>
      <c r="B32" s="6" t="s">
        <v>213</v>
      </c>
      <c r="C32" s="6" t="s">
        <v>158</v>
      </c>
      <c r="D32" s="6" t="s">
        <v>290</v>
      </c>
      <c r="E32" s="6" t="s">
        <v>147</v>
      </c>
      <c r="F32" s="6" t="s">
        <v>87</v>
      </c>
      <c r="G32" s="6" t="s">
        <v>84</v>
      </c>
      <c r="H32" s="6" t="s">
        <v>159</v>
      </c>
      <c r="I32" s="6" t="s">
        <v>84</v>
      </c>
      <c r="J32" s="6" t="s">
        <v>162</v>
      </c>
      <c r="K32" s="6" t="s">
        <v>22</v>
      </c>
      <c r="L32" s="6" t="s">
        <v>291</v>
      </c>
      <c r="M32" s="6" t="s">
        <v>161</v>
      </c>
      <c r="N32" s="6" t="s">
        <v>291</v>
      </c>
      <c r="O32" s="6" t="s">
        <v>42</v>
      </c>
      <c r="P32" s="6" t="s">
        <v>103</v>
      </c>
      <c r="Q32" s="8" t="s">
        <v>186</v>
      </c>
      <c r="R32" s="6" t="s">
        <v>42</v>
      </c>
      <c r="S32" s="6" t="s">
        <v>93</v>
      </c>
      <c r="T32" s="6" t="s">
        <v>162</v>
      </c>
      <c r="U32" s="6" t="s">
        <v>77</v>
      </c>
      <c r="V32" s="6" t="s">
        <v>292</v>
      </c>
      <c r="W32" s="6" t="s">
        <v>293</v>
      </c>
    </row>
    <row r="33" ht="15.75" customHeight="1">
      <c r="A33" s="6" t="s">
        <v>215</v>
      </c>
      <c r="B33" s="6" t="s">
        <v>216</v>
      </c>
      <c r="C33" s="6" t="s">
        <v>158</v>
      </c>
      <c r="D33" s="6" t="s">
        <v>294</v>
      </c>
      <c r="E33" s="6" t="s">
        <v>147</v>
      </c>
      <c r="F33" s="6" t="s">
        <v>87</v>
      </c>
      <c r="G33" s="6" t="s">
        <v>159</v>
      </c>
      <c r="H33" s="6" t="s">
        <v>84</v>
      </c>
      <c r="I33" s="6" t="s">
        <v>84</v>
      </c>
      <c r="J33" s="6" t="s">
        <v>162</v>
      </c>
      <c r="K33" s="6" t="s">
        <v>22</v>
      </c>
      <c r="L33" s="6" t="s">
        <v>247</v>
      </c>
      <c r="M33" s="6" t="s">
        <v>68</v>
      </c>
      <c r="N33" s="6" t="s">
        <v>247</v>
      </c>
      <c r="O33" s="6" t="s">
        <v>196</v>
      </c>
      <c r="P33" s="6" t="s">
        <v>44</v>
      </c>
      <c r="Q33" s="8" t="s">
        <v>186</v>
      </c>
      <c r="R33" s="6" t="s">
        <v>275</v>
      </c>
      <c r="S33" s="6" t="s">
        <v>93</v>
      </c>
      <c r="T33" s="6" t="s">
        <v>162</v>
      </c>
      <c r="U33" s="6" t="s">
        <v>77</v>
      </c>
      <c r="V33" s="6" t="s">
        <v>295</v>
      </c>
      <c r="W33" s="6" t="s">
        <v>296</v>
      </c>
    </row>
    <row r="34" ht="15.75" customHeight="1">
      <c r="A34" s="6" t="s">
        <v>220</v>
      </c>
      <c r="B34" s="6" t="s">
        <v>221</v>
      </c>
      <c r="C34" s="6" t="s">
        <v>91</v>
      </c>
      <c r="D34" s="6" t="s">
        <v>285</v>
      </c>
      <c r="E34" s="6" t="s">
        <v>147</v>
      </c>
      <c r="F34" s="6" t="s">
        <v>87</v>
      </c>
      <c r="G34" s="6" t="s">
        <v>72</v>
      </c>
      <c r="H34" s="6" t="s">
        <v>141</v>
      </c>
      <c r="I34" s="6" t="s">
        <v>141</v>
      </c>
      <c r="J34" s="6" t="s">
        <v>41</v>
      </c>
      <c r="K34" s="6" t="s">
        <v>22</v>
      </c>
      <c r="L34" s="6" t="s">
        <v>67</v>
      </c>
      <c r="M34" s="6" t="s">
        <v>68</v>
      </c>
      <c r="N34" s="6" t="s">
        <v>67</v>
      </c>
      <c r="O34" s="6" t="s">
        <v>42</v>
      </c>
      <c r="P34" s="6" t="s">
        <v>44</v>
      </c>
      <c r="Q34" s="8" t="s">
        <v>186</v>
      </c>
      <c r="R34" s="6" t="s">
        <v>42</v>
      </c>
      <c r="S34" s="6" t="s">
        <v>93</v>
      </c>
      <c r="T34" s="6" t="s">
        <v>94</v>
      </c>
      <c r="U34" s="6" t="s">
        <v>77</v>
      </c>
      <c r="V34" s="6" t="s">
        <v>297</v>
      </c>
      <c r="W34" s="6" t="s">
        <v>298</v>
      </c>
    </row>
    <row r="35" ht="15.75" customHeight="1">
      <c r="A35" s="6" t="s">
        <v>223</v>
      </c>
      <c r="B35" s="6" t="s">
        <v>224</v>
      </c>
      <c r="C35" s="6" t="s">
        <v>225</v>
      </c>
      <c r="D35" s="6" t="s">
        <v>154</v>
      </c>
      <c r="E35" s="6" t="s">
        <v>147</v>
      </c>
      <c r="F35" s="6" t="s">
        <v>87</v>
      </c>
      <c r="G35" s="6" t="s">
        <v>197</v>
      </c>
      <c r="H35" s="6" t="s">
        <v>84</v>
      </c>
      <c r="I35" s="6" t="s">
        <v>197</v>
      </c>
      <c r="J35" s="6" t="s">
        <v>50</v>
      </c>
      <c r="K35" s="6" t="s">
        <v>22</v>
      </c>
      <c r="L35" s="6" t="s">
        <v>299</v>
      </c>
      <c r="M35" s="6" t="s">
        <v>161</v>
      </c>
      <c r="N35" s="6" t="s">
        <v>299</v>
      </c>
      <c r="O35" s="6" t="s">
        <v>42</v>
      </c>
      <c r="P35" s="6" t="s">
        <v>103</v>
      </c>
      <c r="Q35" s="8" t="s">
        <v>186</v>
      </c>
      <c r="R35" s="6" t="s">
        <v>42</v>
      </c>
      <c r="S35" s="6" t="s">
        <v>93</v>
      </c>
      <c r="T35" s="6" t="s">
        <v>50</v>
      </c>
      <c r="U35" s="6" t="s">
        <v>77</v>
      </c>
      <c r="V35" s="6" t="s">
        <v>300</v>
      </c>
      <c r="W35" s="6" t="s">
        <v>301</v>
      </c>
    </row>
    <row r="36" ht="15.75" customHeight="1">
      <c r="A36" s="6" t="s">
        <v>228</v>
      </c>
      <c r="B36" s="6" t="s">
        <v>230</v>
      </c>
      <c r="C36" s="6" t="s">
        <v>231</v>
      </c>
      <c r="D36" s="6" t="s">
        <v>154</v>
      </c>
      <c r="E36" s="6" t="s">
        <v>147</v>
      </c>
      <c r="F36" s="6" t="s">
        <v>87</v>
      </c>
      <c r="G36" s="6" t="s">
        <v>232</v>
      </c>
      <c r="H36" s="6" t="s">
        <v>72</v>
      </c>
      <c r="I36" s="6" t="s">
        <v>232</v>
      </c>
      <c r="J36" s="6" t="s">
        <v>50</v>
      </c>
      <c r="K36" s="6" t="s">
        <v>22</v>
      </c>
      <c r="L36" s="6" t="s">
        <v>302</v>
      </c>
      <c r="M36" s="6" t="s">
        <v>161</v>
      </c>
      <c r="N36" s="6" t="s">
        <v>302</v>
      </c>
      <c r="O36" s="6" t="s">
        <v>42</v>
      </c>
      <c r="P36" s="6" t="s">
        <v>103</v>
      </c>
      <c r="Q36" s="8" t="s">
        <v>186</v>
      </c>
      <c r="R36" s="6" t="s">
        <v>42</v>
      </c>
      <c r="S36" s="6" t="s">
        <v>93</v>
      </c>
      <c r="T36" s="6" t="s">
        <v>50</v>
      </c>
      <c r="U36" s="6" t="s">
        <v>77</v>
      </c>
      <c r="V36" s="6" t="s">
        <v>303</v>
      </c>
      <c r="W36" s="6" t="s">
        <v>304</v>
      </c>
    </row>
    <row r="37" ht="15.75" customHeight="1">
      <c r="A37" s="6" t="s">
        <v>234</v>
      </c>
      <c r="B37" s="6" t="s">
        <v>235</v>
      </c>
      <c r="C37" s="6" t="s">
        <v>236</v>
      </c>
      <c r="D37" s="6" t="s">
        <v>305</v>
      </c>
      <c r="E37" s="6" t="s">
        <v>147</v>
      </c>
      <c r="F37" s="6" t="s">
        <v>87</v>
      </c>
      <c r="G37" s="6" t="s">
        <v>73</v>
      </c>
      <c r="H37" s="6" t="s">
        <v>22</v>
      </c>
      <c r="I37" s="6" t="s">
        <v>22</v>
      </c>
      <c r="J37" s="6" t="s">
        <v>41</v>
      </c>
      <c r="K37" s="6" t="s">
        <v>22</v>
      </c>
      <c r="L37" s="6" t="s">
        <v>261</v>
      </c>
      <c r="M37" s="6" t="s">
        <v>68</v>
      </c>
      <c r="N37" s="6" t="s">
        <v>261</v>
      </c>
      <c r="O37" s="6" t="s">
        <v>237</v>
      </c>
      <c r="P37" s="6" t="s">
        <v>44</v>
      </c>
      <c r="Q37" s="8" t="s">
        <v>186</v>
      </c>
      <c r="R37" s="6" t="s">
        <v>237</v>
      </c>
      <c r="S37" s="6" t="s">
        <v>93</v>
      </c>
      <c r="T37" s="6" t="s">
        <v>50</v>
      </c>
      <c r="U37" s="6" t="s">
        <v>77</v>
      </c>
      <c r="V37" s="6" t="s">
        <v>306</v>
      </c>
      <c r="W37" s="6" t="s">
        <v>307</v>
      </c>
    </row>
    <row r="38" ht="15.75" customHeight="1">
      <c r="A38" s="6" t="s">
        <v>239</v>
      </c>
      <c r="B38" s="6" t="s">
        <v>240</v>
      </c>
      <c r="C38" s="6" t="s">
        <v>236</v>
      </c>
      <c r="D38" s="6" t="s">
        <v>308</v>
      </c>
      <c r="E38" s="6" t="s">
        <v>147</v>
      </c>
      <c r="F38" s="6" t="s">
        <v>87</v>
      </c>
      <c r="G38" s="6" t="s">
        <v>73</v>
      </c>
      <c r="H38" s="6" t="s">
        <v>22</v>
      </c>
      <c r="I38" s="6" t="s">
        <v>22</v>
      </c>
      <c r="J38" s="6" t="s">
        <v>41</v>
      </c>
      <c r="K38" s="6" t="s">
        <v>22</v>
      </c>
      <c r="L38" s="6" t="s">
        <v>261</v>
      </c>
      <c r="M38" s="6" t="s">
        <v>68</v>
      </c>
      <c r="N38" s="6" t="s">
        <v>261</v>
      </c>
      <c r="O38" s="6" t="s">
        <v>237</v>
      </c>
      <c r="P38" s="6" t="s">
        <v>44</v>
      </c>
      <c r="Q38" s="8" t="s">
        <v>186</v>
      </c>
      <c r="R38" s="6" t="s">
        <v>237</v>
      </c>
      <c r="S38" s="6" t="s">
        <v>93</v>
      </c>
      <c r="T38" s="6" t="s">
        <v>50</v>
      </c>
      <c r="U38" s="6" t="s">
        <v>77</v>
      </c>
      <c r="V38" s="6" t="s">
        <v>309</v>
      </c>
      <c r="W38" s="6" t="s">
        <v>307</v>
      </c>
    </row>
    <row r="39" ht="15.75" customHeight="1">
      <c r="A39" s="6" t="s">
        <v>234</v>
      </c>
      <c r="B39" s="6" t="s">
        <v>235</v>
      </c>
      <c r="C39" s="6" t="s">
        <v>236</v>
      </c>
      <c r="D39" s="6" t="s">
        <v>305</v>
      </c>
      <c r="E39" s="6" t="s">
        <v>147</v>
      </c>
      <c r="F39" s="6" t="s">
        <v>87</v>
      </c>
      <c r="G39" s="6" t="s">
        <v>73</v>
      </c>
      <c r="H39" s="6" t="s">
        <v>22</v>
      </c>
      <c r="I39" s="6" t="s">
        <v>22</v>
      </c>
      <c r="J39" s="6" t="s">
        <v>41</v>
      </c>
      <c r="K39" s="6" t="s">
        <v>22</v>
      </c>
      <c r="L39" s="6" t="s">
        <v>261</v>
      </c>
      <c r="M39" s="6" t="s">
        <v>68</v>
      </c>
      <c r="N39" s="6" t="s">
        <v>261</v>
      </c>
      <c r="O39" s="6" t="s">
        <v>237</v>
      </c>
      <c r="P39" s="6" t="s">
        <v>44</v>
      </c>
      <c r="Q39" s="8" t="s">
        <v>186</v>
      </c>
      <c r="R39" s="6" t="s">
        <v>237</v>
      </c>
      <c r="S39" s="6" t="s">
        <v>93</v>
      </c>
      <c r="T39" s="6" t="s">
        <v>50</v>
      </c>
      <c r="U39" s="6" t="s">
        <v>77</v>
      </c>
      <c r="V39" s="6" t="s">
        <v>306</v>
      </c>
      <c r="W39" s="6" t="s">
        <v>307</v>
      </c>
    </row>
    <row r="40" ht="15.75" customHeight="1">
      <c r="A40" s="6" t="s">
        <v>239</v>
      </c>
      <c r="B40" s="6" t="s">
        <v>240</v>
      </c>
      <c r="C40" s="6" t="s">
        <v>236</v>
      </c>
      <c r="D40" s="6" t="s">
        <v>308</v>
      </c>
      <c r="E40" s="6" t="s">
        <v>147</v>
      </c>
      <c r="F40" s="6" t="s">
        <v>87</v>
      </c>
      <c r="G40" s="6" t="s">
        <v>73</v>
      </c>
      <c r="H40" s="6" t="s">
        <v>22</v>
      </c>
      <c r="I40" s="6" t="s">
        <v>22</v>
      </c>
      <c r="J40" s="6" t="s">
        <v>41</v>
      </c>
      <c r="K40" s="6" t="s">
        <v>22</v>
      </c>
      <c r="L40" s="6" t="s">
        <v>261</v>
      </c>
      <c r="M40" s="6" t="s">
        <v>68</v>
      </c>
      <c r="N40" s="6" t="s">
        <v>261</v>
      </c>
      <c r="O40" s="6" t="s">
        <v>237</v>
      </c>
      <c r="P40" s="6" t="s">
        <v>44</v>
      </c>
      <c r="Q40" s="8" t="s">
        <v>186</v>
      </c>
      <c r="R40" s="6" t="s">
        <v>237</v>
      </c>
      <c r="S40" s="6" t="s">
        <v>93</v>
      </c>
      <c r="T40" s="6" t="s">
        <v>50</v>
      </c>
      <c r="U40" s="6" t="s">
        <v>77</v>
      </c>
      <c r="V40" s="6" t="s">
        <v>309</v>
      </c>
      <c r="W40" s="6" t="s">
        <v>307</v>
      </c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</row>
  </sheetData>
  <conditionalFormatting sqref="U2:U40">
    <cfRule type="containsText" dxfId="4" priority="1" operator="containsText" text="Incomplete">
      <formula>NOT(ISERROR(SEARCH(("Incomplete"),(U2))))</formula>
    </cfRule>
  </conditionalFormatting>
  <conditionalFormatting sqref="U2:U40">
    <cfRule type="containsText" dxfId="6" priority="2" operator="containsText" text="Assigned">
      <formula>NOT(ISERROR(SEARCH(("Assigned"),(U2))))</formula>
    </cfRule>
  </conditionalFormatting>
  <conditionalFormatting sqref="O2:O40">
    <cfRule type="containsText" dxfId="7" priority="3" operator="containsText" text="Critical">
      <formula>NOT(ISERROR(SEARCH(("Critical"),(O2))))</formula>
    </cfRule>
  </conditionalFormatting>
  <dataValidations>
    <dataValidation type="list" allowBlank="1" sqref="F2:F40">
      <formula1>"Generated,Planned,In Review,Retired"</formula1>
    </dataValidation>
    <dataValidation type="list" allowBlank="1" sqref="P2:P40">
      <formula1>"Before release,Quarterly,Semiannual,Annual"</formula1>
    </dataValidation>
    <dataValidation type="list" allowBlank="1" sqref="O2:O40">
      <formula1>"Critical,High,Medium,Low"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0.0"/>
    <col customWidth="1" min="2" max="2" width="17.0"/>
    <col customWidth="1" min="3" max="3" width="19.0"/>
    <col customWidth="1" min="4" max="4" width="17.0"/>
    <col customWidth="1" min="5" max="5" width="18.0"/>
    <col customWidth="1" min="6" max="6" width="16.0"/>
    <col customWidth="1" min="7" max="7" width="17.0"/>
    <col customWidth="1" min="8" max="8" width="19.0"/>
    <col customWidth="1" min="9" max="26" width="8.63"/>
  </cols>
  <sheetData>
    <row r="1">
      <c r="A1" s="3" t="s">
        <v>3</v>
      </c>
      <c r="B1" s="3" t="s">
        <v>6</v>
      </c>
      <c r="C1" s="3" t="s">
        <v>9</v>
      </c>
      <c r="D1" s="3" t="s">
        <v>11</v>
      </c>
      <c r="E1" s="3" t="s">
        <v>13</v>
      </c>
      <c r="F1" s="3" t="s">
        <v>15</v>
      </c>
      <c r="G1" s="3" t="s">
        <v>17</v>
      </c>
      <c r="H1" s="3" t="s">
        <v>19</v>
      </c>
    </row>
    <row r="2">
      <c r="A2" s="6" t="s">
        <v>22</v>
      </c>
      <c r="B2" s="6" t="s">
        <v>29</v>
      </c>
      <c r="C2" s="6" t="s">
        <v>31</v>
      </c>
      <c r="D2" s="6" t="s">
        <v>31</v>
      </c>
      <c r="E2" s="6" t="s">
        <v>34</v>
      </c>
      <c r="F2" s="6" t="s">
        <v>29</v>
      </c>
      <c r="G2" s="6" t="s">
        <v>31</v>
      </c>
      <c r="H2" s="6" t="s">
        <v>29</v>
      </c>
    </row>
    <row r="3">
      <c r="A3" s="6" t="s">
        <v>16</v>
      </c>
      <c r="B3" s="6" t="s">
        <v>43</v>
      </c>
      <c r="C3" s="6" t="s">
        <v>29</v>
      </c>
      <c r="D3" s="6" t="s">
        <v>31</v>
      </c>
      <c r="E3" s="6" t="s">
        <v>31</v>
      </c>
      <c r="F3" s="6" t="s">
        <v>31</v>
      </c>
      <c r="G3" s="6" t="s">
        <v>31</v>
      </c>
      <c r="H3" s="6" t="s">
        <v>29</v>
      </c>
    </row>
    <row r="4">
      <c r="A4" s="6" t="s">
        <v>18</v>
      </c>
      <c r="B4" s="6" t="s">
        <v>29</v>
      </c>
      <c r="C4" s="6" t="s">
        <v>31</v>
      </c>
      <c r="D4" s="6" t="s">
        <v>31</v>
      </c>
      <c r="E4" s="6" t="s">
        <v>31</v>
      </c>
      <c r="F4" s="6" t="s">
        <v>31</v>
      </c>
      <c r="G4" s="6" t="s">
        <v>58</v>
      </c>
      <c r="H4" s="6" t="s">
        <v>29</v>
      </c>
    </row>
    <row r="5">
      <c r="A5" s="6" t="s">
        <v>21</v>
      </c>
      <c r="B5" s="6" t="s">
        <v>31</v>
      </c>
      <c r="C5" s="6" t="s">
        <v>43</v>
      </c>
      <c r="D5" s="6" t="s">
        <v>31</v>
      </c>
      <c r="E5" s="6" t="s">
        <v>58</v>
      </c>
      <c r="F5" s="6" t="s">
        <v>31</v>
      </c>
      <c r="G5" s="6" t="s">
        <v>58</v>
      </c>
      <c r="H5" s="6" t="s">
        <v>31</v>
      </c>
    </row>
    <row r="6">
      <c r="A6" s="6" t="s">
        <v>23</v>
      </c>
      <c r="B6" s="6" t="s">
        <v>58</v>
      </c>
      <c r="C6" s="6" t="s">
        <v>31</v>
      </c>
      <c r="D6" s="6" t="s">
        <v>34</v>
      </c>
      <c r="E6" s="6" t="s">
        <v>58</v>
      </c>
      <c r="F6" s="6" t="s">
        <v>58</v>
      </c>
      <c r="G6" s="6" t="s">
        <v>31</v>
      </c>
      <c r="H6" s="6" t="s">
        <v>34</v>
      </c>
    </row>
    <row r="7">
      <c r="A7" s="6" t="s">
        <v>73</v>
      </c>
      <c r="B7" s="6" t="s">
        <v>31</v>
      </c>
      <c r="C7" s="6" t="s">
        <v>31</v>
      </c>
      <c r="D7" s="6" t="s">
        <v>58</v>
      </c>
      <c r="E7" s="6" t="s">
        <v>31</v>
      </c>
      <c r="F7" s="6" t="s">
        <v>43</v>
      </c>
      <c r="G7" s="6" t="s">
        <v>31</v>
      </c>
      <c r="H7" s="6" t="s">
        <v>31</v>
      </c>
    </row>
    <row r="8">
      <c r="A8" s="6" t="s">
        <v>84</v>
      </c>
      <c r="B8" s="6" t="s">
        <v>58</v>
      </c>
      <c r="C8" s="6" t="s">
        <v>31</v>
      </c>
      <c r="D8" s="6" t="s">
        <v>31</v>
      </c>
      <c r="E8" s="6" t="s">
        <v>58</v>
      </c>
      <c r="F8" s="6" t="s">
        <v>31</v>
      </c>
      <c r="G8" s="6" t="s">
        <v>43</v>
      </c>
      <c r="H8" s="6" t="s">
        <v>31</v>
      </c>
    </row>
    <row r="9">
      <c r="A9" s="6" t="s">
        <v>50</v>
      </c>
      <c r="B9" s="6" t="s">
        <v>58</v>
      </c>
      <c r="C9" s="6" t="s">
        <v>58</v>
      </c>
      <c r="D9" s="6" t="s">
        <v>34</v>
      </c>
      <c r="E9" s="6" t="s">
        <v>58</v>
      </c>
      <c r="F9" s="6" t="s">
        <v>58</v>
      </c>
      <c r="G9" s="6" t="s">
        <v>58</v>
      </c>
      <c r="H9" s="6" t="s">
        <v>34</v>
      </c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15.75" customHeight="1">
      <c r="A28" s="5"/>
      <c r="B28" s="5"/>
      <c r="C28" s="5"/>
      <c r="D28" s="5"/>
      <c r="E28" s="5"/>
      <c r="F28" s="5"/>
      <c r="G28" s="5"/>
      <c r="H28" s="5"/>
    </row>
    <row r="29" ht="15.75" customHeight="1">
      <c r="A29" s="5"/>
      <c r="B29" s="5"/>
      <c r="C29" s="5"/>
      <c r="D29" s="5"/>
      <c r="E29" s="5"/>
      <c r="F29" s="5"/>
      <c r="G29" s="5"/>
      <c r="H29" s="5"/>
    </row>
    <row r="30" ht="15.75" customHeight="1">
      <c r="A30" s="5"/>
      <c r="B30" s="5"/>
      <c r="C30" s="5"/>
      <c r="D30" s="5"/>
      <c r="E30" s="5"/>
      <c r="F30" s="5"/>
      <c r="G30" s="5"/>
      <c r="H30" s="5"/>
    </row>
    <row r="31" ht="15.75" customHeight="1">
      <c r="A31" s="5"/>
      <c r="B31" s="5"/>
      <c r="C31" s="5"/>
      <c r="D31" s="5"/>
      <c r="E31" s="5"/>
      <c r="F31" s="5"/>
      <c r="G31" s="5"/>
      <c r="H31" s="5"/>
    </row>
    <row r="32" ht="15.75" customHeight="1">
      <c r="A32" s="5"/>
      <c r="B32" s="5"/>
      <c r="C32" s="5"/>
      <c r="D32" s="5"/>
      <c r="E32" s="5"/>
      <c r="F32" s="5"/>
      <c r="G32" s="5"/>
      <c r="H32" s="5"/>
    </row>
    <row r="33" ht="15.75" customHeight="1">
      <c r="A33" s="5"/>
      <c r="B33" s="5"/>
      <c r="C33" s="5"/>
      <c r="D33" s="5"/>
      <c r="E33" s="5"/>
      <c r="F33" s="5"/>
      <c r="G33" s="5"/>
      <c r="H33" s="5"/>
    </row>
    <row r="34" ht="15.75" customHeight="1">
      <c r="A34" s="5"/>
      <c r="B34" s="5"/>
      <c r="C34" s="5"/>
      <c r="D34" s="5"/>
      <c r="E34" s="5"/>
      <c r="F34" s="5"/>
      <c r="G34" s="5"/>
      <c r="H34" s="5"/>
    </row>
    <row r="35" ht="15.75" customHeight="1">
      <c r="A35" s="5"/>
      <c r="B35" s="5"/>
      <c r="C35" s="5"/>
      <c r="D35" s="5"/>
      <c r="E35" s="5"/>
      <c r="F35" s="5"/>
      <c r="G35" s="5"/>
      <c r="H35" s="5"/>
    </row>
    <row r="36" ht="15.75" customHeight="1">
      <c r="A36" s="5"/>
      <c r="B36" s="5"/>
      <c r="C36" s="5"/>
      <c r="D36" s="5"/>
      <c r="E36" s="5"/>
      <c r="F36" s="5"/>
      <c r="G36" s="5"/>
      <c r="H36" s="5"/>
    </row>
    <row r="37" ht="15.75" customHeight="1">
      <c r="A37" s="5"/>
      <c r="B37" s="5"/>
      <c r="C37" s="5"/>
      <c r="D37" s="5"/>
      <c r="E37" s="5"/>
      <c r="F37" s="5"/>
      <c r="G37" s="5"/>
      <c r="H37" s="5"/>
    </row>
    <row r="38" ht="15.75" customHeight="1">
      <c r="A38" s="5"/>
      <c r="B38" s="5"/>
      <c r="C38" s="5"/>
      <c r="D38" s="5"/>
      <c r="E38" s="5"/>
      <c r="F38" s="5"/>
      <c r="G38" s="5"/>
      <c r="H38" s="5"/>
    </row>
    <row r="39" ht="15.75" customHeight="1">
      <c r="A39" s="5"/>
      <c r="B39" s="5"/>
      <c r="C39" s="5"/>
      <c r="D39" s="5"/>
      <c r="E39" s="5"/>
      <c r="F39" s="5"/>
      <c r="G39" s="5"/>
      <c r="H39" s="5"/>
    </row>
    <row r="40" ht="15.75" customHeight="1">
      <c r="A40" s="5"/>
      <c r="B40" s="5"/>
      <c r="C40" s="5"/>
      <c r="D40" s="5"/>
      <c r="E40" s="5"/>
      <c r="F40" s="5"/>
      <c r="G40" s="5"/>
      <c r="H40" s="5"/>
    </row>
    <row r="41" ht="15.75" customHeight="1">
      <c r="A41" s="5"/>
      <c r="B41" s="5"/>
      <c r="C41" s="5"/>
      <c r="D41" s="5"/>
      <c r="E41" s="5"/>
      <c r="F41" s="5"/>
      <c r="G41" s="5"/>
      <c r="H41" s="5"/>
    </row>
    <row r="42" ht="15.75" customHeight="1">
      <c r="A42" s="5"/>
      <c r="B42" s="5"/>
      <c r="C42" s="5"/>
      <c r="D42" s="5"/>
      <c r="E42" s="5"/>
      <c r="F42" s="5"/>
      <c r="G42" s="5"/>
      <c r="H42" s="5"/>
    </row>
    <row r="43" ht="15.75" customHeight="1">
      <c r="A43" s="5"/>
      <c r="B43" s="5"/>
      <c r="C43" s="5"/>
      <c r="D43" s="5"/>
      <c r="E43" s="5"/>
      <c r="F43" s="5"/>
      <c r="G43" s="5"/>
      <c r="H43" s="5"/>
    </row>
    <row r="44" ht="15.75" customHeight="1">
      <c r="A44" s="5"/>
      <c r="B44" s="5"/>
      <c r="C44" s="5"/>
      <c r="D44" s="5"/>
      <c r="E44" s="5"/>
      <c r="F44" s="5"/>
      <c r="G44" s="5"/>
      <c r="H44" s="5"/>
    </row>
    <row r="45" ht="15.75" customHeight="1">
      <c r="A45" s="5"/>
      <c r="B45" s="5"/>
      <c r="C45" s="5"/>
      <c r="D45" s="5"/>
      <c r="E45" s="5"/>
      <c r="F45" s="5"/>
      <c r="G45" s="5"/>
      <c r="H45" s="5"/>
    </row>
    <row r="46" ht="15.75" customHeight="1">
      <c r="A46" s="5"/>
      <c r="B46" s="5"/>
      <c r="C46" s="5"/>
      <c r="D46" s="5"/>
      <c r="E46" s="5"/>
      <c r="F46" s="5"/>
      <c r="G46" s="5"/>
      <c r="H46" s="5"/>
    </row>
    <row r="47" ht="15.75" customHeight="1">
      <c r="A47" s="5"/>
      <c r="B47" s="5"/>
      <c r="C47" s="5"/>
      <c r="D47" s="5"/>
      <c r="E47" s="5"/>
      <c r="F47" s="5"/>
      <c r="G47" s="5"/>
      <c r="H47" s="5"/>
    </row>
    <row r="48" ht="15.75" customHeight="1">
      <c r="A48" s="5"/>
      <c r="B48" s="5"/>
      <c r="C48" s="5"/>
      <c r="D48" s="5"/>
      <c r="E48" s="5"/>
      <c r="F48" s="5"/>
      <c r="G48" s="5"/>
      <c r="H48" s="5"/>
    </row>
    <row r="49" ht="15.75" customHeight="1">
      <c r="A49" s="5"/>
      <c r="B49" s="5"/>
      <c r="C49" s="5"/>
      <c r="D49" s="5"/>
      <c r="E49" s="5"/>
      <c r="F49" s="5"/>
      <c r="G49" s="5"/>
      <c r="H49" s="5"/>
    </row>
    <row r="50" ht="15.75" customHeight="1">
      <c r="A50" s="5"/>
      <c r="B50" s="5"/>
      <c r="C50" s="5"/>
      <c r="D50" s="5"/>
      <c r="E50" s="5"/>
      <c r="F50" s="5"/>
      <c r="G50" s="5"/>
      <c r="H50" s="5"/>
    </row>
    <row r="51" ht="15.75" customHeight="1">
      <c r="A51" s="5"/>
      <c r="B51" s="5"/>
      <c r="C51" s="5"/>
      <c r="D51" s="5"/>
      <c r="E51" s="5"/>
      <c r="F51" s="5"/>
      <c r="G51" s="5"/>
      <c r="H51" s="5"/>
    </row>
    <row r="52" ht="15.75" customHeight="1">
      <c r="A52" s="5"/>
      <c r="B52" s="5"/>
      <c r="C52" s="5"/>
      <c r="D52" s="5"/>
      <c r="E52" s="5"/>
      <c r="F52" s="5"/>
      <c r="G52" s="5"/>
      <c r="H52" s="5"/>
    </row>
    <row r="53" ht="15.75" customHeight="1">
      <c r="A53" s="5"/>
      <c r="B53" s="5"/>
      <c r="C53" s="5"/>
      <c r="D53" s="5"/>
      <c r="E53" s="5"/>
      <c r="F53" s="5"/>
      <c r="G53" s="5"/>
      <c r="H53" s="5"/>
    </row>
    <row r="54" ht="15.75" customHeight="1">
      <c r="A54" s="5"/>
      <c r="B54" s="5"/>
      <c r="C54" s="5"/>
      <c r="D54" s="5"/>
      <c r="E54" s="5"/>
      <c r="F54" s="5"/>
      <c r="G54" s="5"/>
      <c r="H54" s="5"/>
    </row>
    <row r="55" ht="15.75" customHeight="1">
      <c r="A55" s="5"/>
      <c r="B55" s="5"/>
      <c r="C55" s="5"/>
      <c r="D55" s="5"/>
      <c r="E55" s="5"/>
      <c r="F55" s="5"/>
      <c r="G55" s="5"/>
      <c r="H55" s="5"/>
    </row>
    <row r="56" ht="15.75" customHeight="1">
      <c r="A56" s="5"/>
      <c r="B56" s="5"/>
      <c r="C56" s="5"/>
      <c r="D56" s="5"/>
      <c r="E56" s="5"/>
      <c r="F56" s="5"/>
      <c r="G56" s="5"/>
      <c r="H56" s="5"/>
    </row>
    <row r="57" ht="15.75" customHeight="1">
      <c r="A57" s="5"/>
      <c r="B57" s="5"/>
      <c r="C57" s="5"/>
      <c r="D57" s="5"/>
      <c r="E57" s="5"/>
      <c r="F57" s="5"/>
      <c r="G57" s="5"/>
      <c r="H57" s="5"/>
    </row>
    <row r="58" ht="15.75" customHeight="1">
      <c r="A58" s="5"/>
      <c r="B58" s="5"/>
      <c r="C58" s="5"/>
      <c r="D58" s="5"/>
      <c r="E58" s="5"/>
      <c r="F58" s="5"/>
      <c r="G58" s="5"/>
      <c r="H58" s="5"/>
    </row>
    <row r="59" ht="15.75" customHeight="1">
      <c r="A59" s="5"/>
      <c r="B59" s="5"/>
      <c r="C59" s="5"/>
      <c r="D59" s="5"/>
      <c r="E59" s="5"/>
      <c r="F59" s="5"/>
      <c r="G59" s="5"/>
      <c r="H59" s="5"/>
    </row>
    <row r="60" ht="15.75" customHeight="1">
      <c r="A60" s="5"/>
      <c r="B60" s="5"/>
      <c r="C60" s="5"/>
      <c r="D60" s="5"/>
      <c r="E60" s="5"/>
      <c r="F60" s="5"/>
      <c r="G60" s="5"/>
      <c r="H60" s="5"/>
    </row>
    <row r="61" ht="15.75" customHeight="1">
      <c r="A61" s="5"/>
      <c r="B61" s="5"/>
      <c r="C61" s="5"/>
      <c r="D61" s="5"/>
      <c r="E61" s="5"/>
      <c r="F61" s="5"/>
      <c r="G61" s="5"/>
      <c r="H61" s="5"/>
    </row>
    <row r="62" ht="15.75" customHeight="1">
      <c r="A62" s="5"/>
      <c r="B62" s="5"/>
      <c r="C62" s="5"/>
      <c r="D62" s="5"/>
      <c r="E62" s="5"/>
      <c r="F62" s="5"/>
      <c r="G62" s="5"/>
      <c r="H62" s="5"/>
    </row>
    <row r="63" ht="15.75" customHeight="1">
      <c r="A63" s="5"/>
      <c r="B63" s="5"/>
      <c r="C63" s="5"/>
      <c r="D63" s="5"/>
      <c r="E63" s="5"/>
      <c r="F63" s="5"/>
      <c r="G63" s="5"/>
      <c r="H63" s="5"/>
    </row>
    <row r="64" ht="15.75" customHeight="1">
      <c r="A64" s="5"/>
      <c r="B64" s="5"/>
      <c r="C64" s="5"/>
      <c r="D64" s="5"/>
      <c r="E64" s="5"/>
      <c r="F64" s="5"/>
      <c r="G64" s="5"/>
      <c r="H64" s="5"/>
    </row>
    <row r="65" ht="15.75" customHeight="1">
      <c r="A65" s="5"/>
      <c r="B65" s="5"/>
      <c r="C65" s="5"/>
      <c r="D65" s="5"/>
      <c r="E65" s="5"/>
      <c r="F65" s="5"/>
      <c r="G65" s="5"/>
      <c r="H65" s="5"/>
    </row>
    <row r="66" ht="15.75" customHeight="1">
      <c r="A66" s="5"/>
      <c r="B66" s="5"/>
      <c r="C66" s="5"/>
      <c r="D66" s="5"/>
      <c r="E66" s="5"/>
      <c r="F66" s="5"/>
      <c r="G66" s="5"/>
      <c r="H66" s="5"/>
    </row>
    <row r="67" ht="15.75" customHeight="1">
      <c r="A67" s="5"/>
      <c r="B67" s="5"/>
      <c r="C67" s="5"/>
      <c r="D67" s="5"/>
      <c r="E67" s="5"/>
      <c r="F67" s="5"/>
      <c r="G67" s="5"/>
      <c r="H67" s="5"/>
    </row>
    <row r="68" ht="15.75" customHeight="1">
      <c r="A68" s="5"/>
      <c r="B68" s="5"/>
      <c r="C68" s="5"/>
      <c r="D68" s="5"/>
      <c r="E68" s="5"/>
      <c r="F68" s="5"/>
      <c r="G68" s="5"/>
      <c r="H68" s="5"/>
    </row>
    <row r="69" ht="15.75" customHeight="1">
      <c r="A69" s="5"/>
      <c r="B69" s="5"/>
      <c r="C69" s="5"/>
      <c r="D69" s="5"/>
      <c r="E69" s="5"/>
      <c r="F69" s="5"/>
      <c r="G69" s="5"/>
      <c r="H69" s="5"/>
    </row>
    <row r="70" ht="15.75" customHeight="1">
      <c r="A70" s="5"/>
      <c r="B70" s="5"/>
      <c r="C70" s="5"/>
      <c r="D70" s="5"/>
      <c r="E70" s="5"/>
      <c r="F70" s="5"/>
      <c r="G70" s="5"/>
      <c r="H70" s="5"/>
    </row>
    <row r="71" ht="15.75" customHeight="1">
      <c r="A71" s="5"/>
      <c r="B71" s="5"/>
      <c r="C71" s="5"/>
      <c r="D71" s="5"/>
      <c r="E71" s="5"/>
      <c r="F71" s="5"/>
      <c r="G71" s="5"/>
      <c r="H71" s="5"/>
    </row>
    <row r="72" ht="15.75" customHeight="1">
      <c r="A72" s="5"/>
      <c r="B72" s="5"/>
      <c r="C72" s="5"/>
      <c r="D72" s="5"/>
      <c r="E72" s="5"/>
      <c r="F72" s="5"/>
      <c r="G72" s="5"/>
      <c r="H72" s="5"/>
    </row>
    <row r="73" ht="15.75" customHeight="1">
      <c r="A73" s="5"/>
      <c r="B73" s="5"/>
      <c r="C73" s="5"/>
      <c r="D73" s="5"/>
      <c r="E73" s="5"/>
      <c r="F73" s="5"/>
      <c r="G73" s="5"/>
      <c r="H73" s="5"/>
    </row>
    <row r="74" ht="15.75" customHeight="1">
      <c r="A74" s="5"/>
      <c r="B74" s="5"/>
      <c r="C74" s="5"/>
      <c r="D74" s="5"/>
      <c r="E74" s="5"/>
      <c r="F74" s="5"/>
      <c r="G74" s="5"/>
      <c r="H74" s="5"/>
    </row>
    <row r="75" ht="15.75" customHeight="1">
      <c r="A75" s="5"/>
      <c r="B75" s="5"/>
      <c r="C75" s="5"/>
      <c r="D75" s="5"/>
      <c r="E75" s="5"/>
      <c r="F75" s="5"/>
      <c r="G75" s="5"/>
      <c r="H75" s="5"/>
    </row>
    <row r="76" ht="15.75" customHeight="1">
      <c r="A76" s="5"/>
      <c r="B76" s="5"/>
      <c r="C76" s="5"/>
      <c r="D76" s="5"/>
      <c r="E76" s="5"/>
      <c r="F76" s="5"/>
      <c r="G76" s="5"/>
      <c r="H76" s="5"/>
    </row>
    <row r="77" ht="15.75" customHeight="1">
      <c r="A77" s="5"/>
      <c r="B77" s="5"/>
      <c r="C77" s="5"/>
      <c r="D77" s="5"/>
      <c r="E77" s="5"/>
      <c r="F77" s="5"/>
      <c r="G77" s="5"/>
      <c r="H77" s="5"/>
    </row>
    <row r="78" ht="15.75" customHeight="1">
      <c r="A78" s="5"/>
      <c r="B78" s="5"/>
      <c r="C78" s="5"/>
      <c r="D78" s="5"/>
      <c r="E78" s="5"/>
      <c r="F78" s="5"/>
      <c r="G78" s="5"/>
      <c r="H78" s="5"/>
    </row>
    <row r="79" ht="15.75" customHeight="1">
      <c r="A79" s="5"/>
      <c r="B79" s="5"/>
      <c r="C79" s="5"/>
      <c r="D79" s="5"/>
      <c r="E79" s="5"/>
      <c r="F79" s="5"/>
      <c r="G79" s="5"/>
      <c r="H79" s="5"/>
    </row>
    <row r="80" ht="15.75" customHeight="1">
      <c r="A80" s="5"/>
      <c r="B80" s="5"/>
      <c r="C80" s="5"/>
      <c r="D80" s="5"/>
      <c r="E80" s="5"/>
      <c r="F80" s="5"/>
      <c r="G80" s="5"/>
      <c r="H80" s="5"/>
    </row>
    <row r="81" ht="15.75" customHeight="1">
      <c r="A81" s="5"/>
      <c r="B81" s="5"/>
      <c r="C81" s="5"/>
      <c r="D81" s="5"/>
      <c r="E81" s="5"/>
      <c r="F81" s="5"/>
      <c r="G81" s="5"/>
      <c r="H81" s="5"/>
    </row>
    <row r="82" ht="15.75" customHeight="1">
      <c r="A82" s="5"/>
      <c r="B82" s="5"/>
      <c r="C82" s="5"/>
      <c r="D82" s="5"/>
      <c r="E82" s="5"/>
      <c r="F82" s="5"/>
      <c r="G82" s="5"/>
      <c r="H82" s="5"/>
    </row>
    <row r="83" ht="15.75" customHeight="1">
      <c r="A83" s="5"/>
      <c r="B83" s="5"/>
      <c r="C83" s="5"/>
      <c r="D83" s="5"/>
      <c r="E83" s="5"/>
      <c r="F83" s="5"/>
      <c r="G83" s="5"/>
      <c r="H83" s="5"/>
    </row>
    <row r="84" ht="15.75" customHeight="1">
      <c r="A84" s="5"/>
      <c r="B84" s="5"/>
      <c r="C84" s="5"/>
      <c r="D84" s="5"/>
      <c r="E84" s="5"/>
      <c r="F84" s="5"/>
      <c r="G84" s="5"/>
      <c r="H84" s="5"/>
    </row>
    <row r="85" ht="15.75" customHeight="1">
      <c r="A85" s="5"/>
      <c r="B85" s="5"/>
      <c r="C85" s="5"/>
      <c r="D85" s="5"/>
      <c r="E85" s="5"/>
      <c r="F85" s="5"/>
      <c r="G85" s="5"/>
      <c r="H85" s="5"/>
    </row>
    <row r="86" ht="15.75" customHeight="1">
      <c r="A86" s="5"/>
      <c r="B86" s="5"/>
      <c r="C86" s="5"/>
      <c r="D86" s="5"/>
      <c r="E86" s="5"/>
      <c r="F86" s="5"/>
      <c r="G86" s="5"/>
      <c r="H86" s="5"/>
    </row>
    <row r="87" ht="15.75" customHeight="1">
      <c r="A87" s="5"/>
      <c r="B87" s="5"/>
      <c r="C87" s="5"/>
      <c r="D87" s="5"/>
      <c r="E87" s="5"/>
      <c r="F87" s="5"/>
      <c r="G87" s="5"/>
      <c r="H87" s="5"/>
    </row>
    <row r="88" ht="15.75" customHeight="1">
      <c r="A88" s="5"/>
      <c r="B88" s="5"/>
      <c r="C88" s="5"/>
      <c r="D88" s="5"/>
      <c r="E88" s="5"/>
      <c r="F88" s="5"/>
      <c r="G88" s="5"/>
      <c r="H88" s="5"/>
    </row>
    <row r="89" ht="15.75" customHeight="1">
      <c r="A89" s="5"/>
      <c r="B89" s="5"/>
      <c r="C89" s="5"/>
      <c r="D89" s="5"/>
      <c r="E89" s="5"/>
      <c r="F89" s="5"/>
      <c r="G89" s="5"/>
      <c r="H89" s="5"/>
    </row>
    <row r="90" ht="15.75" customHeight="1">
      <c r="A90" s="5"/>
      <c r="B90" s="5"/>
      <c r="C90" s="5"/>
      <c r="D90" s="5"/>
      <c r="E90" s="5"/>
      <c r="F90" s="5"/>
      <c r="G90" s="5"/>
      <c r="H90" s="5"/>
    </row>
    <row r="91" ht="15.75" customHeight="1">
      <c r="A91" s="5"/>
      <c r="B91" s="5"/>
      <c r="C91" s="5"/>
      <c r="D91" s="5"/>
      <c r="E91" s="5"/>
      <c r="F91" s="5"/>
      <c r="G91" s="5"/>
      <c r="H91" s="5"/>
    </row>
    <row r="92" ht="15.75" customHeight="1">
      <c r="A92" s="5"/>
      <c r="B92" s="5"/>
      <c r="C92" s="5"/>
      <c r="D92" s="5"/>
      <c r="E92" s="5"/>
      <c r="F92" s="5"/>
      <c r="G92" s="5"/>
      <c r="H92" s="5"/>
    </row>
    <row r="93" ht="15.75" customHeight="1">
      <c r="A93" s="5"/>
      <c r="B93" s="5"/>
      <c r="C93" s="5"/>
      <c r="D93" s="5"/>
      <c r="E93" s="5"/>
      <c r="F93" s="5"/>
      <c r="G93" s="5"/>
      <c r="H93" s="5"/>
    </row>
    <row r="94" ht="15.75" customHeight="1">
      <c r="A94" s="5"/>
      <c r="B94" s="5"/>
      <c r="C94" s="5"/>
      <c r="D94" s="5"/>
      <c r="E94" s="5"/>
      <c r="F94" s="5"/>
      <c r="G94" s="5"/>
      <c r="H94" s="5"/>
    </row>
    <row r="95" ht="15.75" customHeight="1">
      <c r="A95" s="5"/>
      <c r="B95" s="5"/>
      <c r="C95" s="5"/>
      <c r="D95" s="5"/>
      <c r="E95" s="5"/>
      <c r="F95" s="5"/>
      <c r="G95" s="5"/>
      <c r="H95" s="5"/>
    </row>
    <row r="96" ht="15.75" customHeight="1">
      <c r="A96" s="5"/>
      <c r="B96" s="5"/>
      <c r="C96" s="5"/>
      <c r="D96" s="5"/>
      <c r="E96" s="5"/>
      <c r="F96" s="5"/>
      <c r="G96" s="5"/>
      <c r="H96" s="5"/>
    </row>
    <row r="97" ht="15.75" customHeight="1">
      <c r="A97" s="5"/>
      <c r="B97" s="5"/>
      <c r="C97" s="5"/>
      <c r="D97" s="5"/>
      <c r="E97" s="5"/>
      <c r="F97" s="5"/>
      <c r="G97" s="5"/>
      <c r="H97" s="5"/>
    </row>
    <row r="98" ht="15.75" customHeight="1">
      <c r="A98" s="5"/>
      <c r="B98" s="5"/>
      <c r="C98" s="5"/>
      <c r="D98" s="5"/>
      <c r="E98" s="5"/>
      <c r="F98" s="5"/>
      <c r="G98" s="5"/>
      <c r="H98" s="5"/>
    </row>
    <row r="99" ht="15.75" customHeight="1">
      <c r="A99" s="5"/>
      <c r="B99" s="5"/>
      <c r="C99" s="5"/>
      <c r="D99" s="5"/>
      <c r="E99" s="5"/>
      <c r="F99" s="5"/>
      <c r="G99" s="5"/>
      <c r="H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</row>
  </sheetData>
  <dataValidations>
    <dataValidation type="list" allowBlank="1" sqref="B2:H9">
      <formula1>"A,R,A/R,C,I,N/A"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6.0"/>
    <col customWidth="1" min="3" max="3" width="36.0"/>
    <col customWidth="1" min="4" max="4" width="22.0"/>
    <col customWidth="1" min="5" max="5" width="26.0"/>
    <col customWidth="1" min="6" max="6" width="14.0"/>
    <col customWidth="1" min="7" max="7" width="17.0"/>
    <col customWidth="1" min="8" max="8" width="13.0"/>
    <col customWidth="1" min="9" max="9" width="14.0"/>
    <col customWidth="1" min="10" max="10" width="22.0"/>
    <col customWidth="1" min="11" max="26" width="8.63"/>
  </cols>
  <sheetData>
    <row r="1">
      <c r="A1" s="3" t="s">
        <v>2</v>
      </c>
      <c r="B1" s="3" t="s">
        <v>4</v>
      </c>
      <c r="C1" s="3" t="s">
        <v>5</v>
      </c>
      <c r="D1" s="3" t="s">
        <v>8</v>
      </c>
      <c r="E1" s="3" t="s">
        <v>16</v>
      </c>
      <c r="F1" s="3" t="s">
        <v>20</v>
      </c>
      <c r="G1" s="3" t="s">
        <v>24</v>
      </c>
      <c r="H1" s="3" t="s">
        <v>25</v>
      </c>
      <c r="I1" s="3" t="s">
        <v>26</v>
      </c>
      <c r="J1" s="3" t="s">
        <v>27</v>
      </c>
    </row>
    <row r="2">
      <c r="A2" s="8" t="s">
        <v>30</v>
      </c>
      <c r="B2" s="6" t="s">
        <v>36</v>
      </c>
      <c r="C2" s="6" t="s">
        <v>38</v>
      </c>
      <c r="D2" s="6" t="s">
        <v>40</v>
      </c>
      <c r="E2" s="6" t="s">
        <v>41</v>
      </c>
      <c r="F2" s="6" t="s">
        <v>42</v>
      </c>
      <c r="G2" s="6" t="s">
        <v>44</v>
      </c>
      <c r="H2" s="6" t="s">
        <v>46</v>
      </c>
      <c r="I2" s="6" t="s">
        <v>48</v>
      </c>
      <c r="J2" s="6" t="s">
        <v>50</v>
      </c>
    </row>
    <row r="3">
      <c r="A3" s="8" t="s">
        <v>30</v>
      </c>
      <c r="B3" s="6" t="s">
        <v>54</v>
      </c>
      <c r="C3" s="6" t="s">
        <v>55</v>
      </c>
      <c r="D3" s="6" t="s">
        <v>40</v>
      </c>
      <c r="E3" s="6" t="s">
        <v>41</v>
      </c>
      <c r="F3" s="6" t="s">
        <v>42</v>
      </c>
      <c r="G3" s="6" t="s">
        <v>44</v>
      </c>
      <c r="H3" s="6" t="s">
        <v>46</v>
      </c>
      <c r="I3" s="6" t="s">
        <v>48</v>
      </c>
      <c r="J3" s="6" t="s">
        <v>50</v>
      </c>
    </row>
    <row r="4">
      <c r="A4" s="8" t="s">
        <v>30</v>
      </c>
      <c r="B4" s="6" t="s">
        <v>62</v>
      </c>
      <c r="C4" s="6" t="s">
        <v>64</v>
      </c>
      <c r="D4" s="6" t="s">
        <v>40</v>
      </c>
      <c r="E4" s="6" t="s">
        <v>22</v>
      </c>
      <c r="F4" s="6" t="s">
        <v>42</v>
      </c>
      <c r="G4" s="6" t="s">
        <v>44</v>
      </c>
      <c r="H4" s="6" t="s">
        <v>46</v>
      </c>
      <c r="I4" s="6" t="s">
        <v>48</v>
      </c>
      <c r="J4" s="6" t="s">
        <v>50</v>
      </c>
    </row>
    <row r="5">
      <c r="A5" s="8" t="s">
        <v>30</v>
      </c>
      <c r="B5" s="6" t="s">
        <v>69</v>
      </c>
      <c r="C5" s="6" t="s">
        <v>71</v>
      </c>
      <c r="D5" s="6" t="s">
        <v>40</v>
      </c>
      <c r="E5" s="6" t="s">
        <v>72</v>
      </c>
      <c r="F5" s="6" t="s">
        <v>74</v>
      </c>
      <c r="G5" s="6" t="s">
        <v>44</v>
      </c>
      <c r="H5" s="6" t="s">
        <v>46</v>
      </c>
      <c r="I5" s="6" t="s">
        <v>48</v>
      </c>
      <c r="J5" s="6" t="s">
        <v>50</v>
      </c>
    </row>
    <row r="6">
      <c r="A6" s="8" t="s">
        <v>30</v>
      </c>
      <c r="B6" s="6" t="s">
        <v>81</v>
      </c>
      <c r="C6" s="6" t="s">
        <v>82</v>
      </c>
      <c r="D6" s="6" t="s">
        <v>40</v>
      </c>
      <c r="E6" s="6" t="s">
        <v>73</v>
      </c>
      <c r="F6" s="6" t="s">
        <v>42</v>
      </c>
      <c r="G6" s="6" t="s">
        <v>44</v>
      </c>
      <c r="H6" s="6" t="s">
        <v>46</v>
      </c>
      <c r="I6" s="6" t="s">
        <v>48</v>
      </c>
      <c r="J6" s="6" t="s">
        <v>50</v>
      </c>
    </row>
    <row r="7">
      <c r="A7" s="8" t="s">
        <v>30</v>
      </c>
      <c r="B7" s="6" t="s">
        <v>89</v>
      </c>
      <c r="C7" s="6" t="s">
        <v>90</v>
      </c>
      <c r="D7" s="6" t="s">
        <v>91</v>
      </c>
      <c r="E7" s="6" t="s">
        <v>72</v>
      </c>
      <c r="F7" s="6" t="s">
        <v>42</v>
      </c>
      <c r="G7" s="6" t="s">
        <v>44</v>
      </c>
      <c r="H7" s="6" t="s">
        <v>46</v>
      </c>
      <c r="I7" s="6" t="s">
        <v>48</v>
      </c>
      <c r="J7" s="6" t="s">
        <v>94</v>
      </c>
    </row>
    <row r="8">
      <c r="A8" s="8" t="s">
        <v>30</v>
      </c>
      <c r="B8" s="6" t="s">
        <v>95</v>
      </c>
      <c r="C8" s="6" t="s">
        <v>97</v>
      </c>
      <c r="D8" s="6" t="s">
        <v>91</v>
      </c>
      <c r="E8" s="6" t="s">
        <v>72</v>
      </c>
      <c r="F8" s="6" t="s">
        <v>42</v>
      </c>
      <c r="G8" s="6" t="s">
        <v>44</v>
      </c>
      <c r="H8" s="6" t="s">
        <v>46</v>
      </c>
      <c r="I8" s="6" t="s">
        <v>48</v>
      </c>
      <c r="J8" s="6" t="s">
        <v>94</v>
      </c>
    </row>
    <row r="9">
      <c r="A9" s="8" t="s">
        <v>30</v>
      </c>
      <c r="B9" s="6" t="s">
        <v>100</v>
      </c>
      <c r="C9" s="6" t="s">
        <v>102</v>
      </c>
      <c r="D9" s="6" t="s">
        <v>91</v>
      </c>
      <c r="E9" s="6" t="s">
        <v>72</v>
      </c>
      <c r="F9" s="6" t="s">
        <v>42</v>
      </c>
      <c r="G9" s="6" t="s">
        <v>103</v>
      </c>
      <c r="H9" s="6" t="s">
        <v>46</v>
      </c>
      <c r="I9" s="6" t="s">
        <v>48</v>
      </c>
      <c r="J9" s="6" t="s">
        <v>94</v>
      </c>
    </row>
    <row r="10">
      <c r="A10" s="8" t="s">
        <v>30</v>
      </c>
      <c r="B10" s="6" t="s">
        <v>106</v>
      </c>
      <c r="C10" s="6" t="s">
        <v>107</v>
      </c>
      <c r="D10" s="6" t="s">
        <v>108</v>
      </c>
      <c r="E10" s="6" t="s">
        <v>110</v>
      </c>
      <c r="F10" s="6" t="s">
        <v>42</v>
      </c>
      <c r="G10" s="6" t="s">
        <v>44</v>
      </c>
      <c r="H10" s="6" t="s">
        <v>46</v>
      </c>
      <c r="I10" s="6" t="s">
        <v>48</v>
      </c>
      <c r="J10" s="6" t="s">
        <v>110</v>
      </c>
    </row>
    <row r="11">
      <c r="A11" s="8" t="s">
        <v>30</v>
      </c>
      <c r="B11" s="6" t="s">
        <v>113</v>
      </c>
      <c r="C11" s="6" t="s">
        <v>114</v>
      </c>
      <c r="D11" s="6" t="s">
        <v>108</v>
      </c>
      <c r="E11" s="6" t="s">
        <v>110</v>
      </c>
      <c r="F11" s="6" t="s">
        <v>42</v>
      </c>
      <c r="G11" s="6" t="s">
        <v>44</v>
      </c>
      <c r="H11" s="6" t="s">
        <v>46</v>
      </c>
      <c r="I11" s="6" t="s">
        <v>48</v>
      </c>
      <c r="J11" s="6" t="s">
        <v>110</v>
      </c>
    </row>
    <row r="12">
      <c r="A12" s="8" t="s">
        <v>30</v>
      </c>
      <c r="B12" s="6" t="s">
        <v>116</v>
      </c>
      <c r="C12" s="6" t="s">
        <v>117</v>
      </c>
      <c r="D12" s="6" t="s">
        <v>118</v>
      </c>
      <c r="E12" s="6" t="s">
        <v>119</v>
      </c>
      <c r="F12" s="6" t="s">
        <v>42</v>
      </c>
      <c r="G12" s="6" t="s">
        <v>44</v>
      </c>
      <c r="H12" s="6" t="s">
        <v>46</v>
      </c>
      <c r="I12" s="6" t="s">
        <v>48</v>
      </c>
      <c r="J12" s="6" t="s">
        <v>122</v>
      </c>
    </row>
    <row r="13">
      <c r="A13" s="8" t="s">
        <v>30</v>
      </c>
      <c r="B13" s="6" t="s">
        <v>124</v>
      </c>
      <c r="C13" s="6" t="s">
        <v>125</v>
      </c>
      <c r="D13" s="6" t="s">
        <v>118</v>
      </c>
      <c r="E13" s="6" t="s">
        <v>127</v>
      </c>
      <c r="F13" s="6" t="s">
        <v>42</v>
      </c>
      <c r="G13" s="6" t="s">
        <v>103</v>
      </c>
      <c r="H13" s="6" t="s">
        <v>46</v>
      </c>
      <c r="I13" s="6" t="s">
        <v>48</v>
      </c>
      <c r="J13" s="6" t="s">
        <v>122</v>
      </c>
    </row>
    <row r="14">
      <c r="A14" s="8" t="s">
        <v>30</v>
      </c>
      <c r="B14" s="6" t="s">
        <v>130</v>
      </c>
      <c r="C14" s="6" t="s">
        <v>131</v>
      </c>
      <c r="D14" s="6" t="s">
        <v>118</v>
      </c>
      <c r="E14" s="6" t="s">
        <v>135</v>
      </c>
      <c r="F14" s="6" t="s">
        <v>42</v>
      </c>
      <c r="G14" s="6" t="s">
        <v>44</v>
      </c>
      <c r="H14" s="6" t="s">
        <v>46</v>
      </c>
      <c r="I14" s="6" t="s">
        <v>48</v>
      </c>
      <c r="J14" s="6" t="s">
        <v>122</v>
      </c>
    </row>
    <row r="15">
      <c r="A15" s="8" t="s">
        <v>30</v>
      </c>
      <c r="B15" s="6" t="s">
        <v>139</v>
      </c>
      <c r="C15" s="6" t="s">
        <v>140</v>
      </c>
      <c r="D15" s="6" t="s">
        <v>118</v>
      </c>
      <c r="E15" s="6" t="s">
        <v>122</v>
      </c>
      <c r="F15" s="6" t="s">
        <v>42</v>
      </c>
      <c r="G15" s="6" t="s">
        <v>44</v>
      </c>
      <c r="H15" s="6" t="s">
        <v>46</v>
      </c>
      <c r="I15" s="6" t="s">
        <v>48</v>
      </c>
      <c r="J15" s="6" t="s">
        <v>122</v>
      </c>
    </row>
    <row r="16">
      <c r="A16" s="8" t="s">
        <v>30</v>
      </c>
      <c r="B16" s="6" t="s">
        <v>143</v>
      </c>
      <c r="C16" s="6" t="s">
        <v>144</v>
      </c>
      <c r="D16" s="6" t="s">
        <v>145</v>
      </c>
      <c r="E16" s="6" t="s">
        <v>63</v>
      </c>
      <c r="F16" s="6" t="s">
        <v>42</v>
      </c>
      <c r="G16" s="6" t="s">
        <v>44</v>
      </c>
      <c r="H16" s="6" t="s">
        <v>46</v>
      </c>
      <c r="I16" s="6" t="s">
        <v>48</v>
      </c>
      <c r="J16" s="6" t="s">
        <v>50</v>
      </c>
    </row>
    <row r="17">
      <c r="A17" s="8" t="s">
        <v>30</v>
      </c>
      <c r="B17" s="6" t="s">
        <v>148</v>
      </c>
      <c r="C17" s="6" t="s">
        <v>149</v>
      </c>
      <c r="D17" s="6" t="s">
        <v>145</v>
      </c>
      <c r="E17" s="6" t="s">
        <v>63</v>
      </c>
      <c r="F17" s="6" t="s">
        <v>42</v>
      </c>
      <c r="G17" s="6" t="s">
        <v>44</v>
      </c>
      <c r="H17" s="6" t="s">
        <v>46</v>
      </c>
      <c r="I17" s="6" t="s">
        <v>48</v>
      </c>
      <c r="J17" s="6" t="s">
        <v>50</v>
      </c>
    </row>
    <row r="18">
      <c r="A18" s="8" t="s">
        <v>30</v>
      </c>
      <c r="B18" s="6" t="s">
        <v>150</v>
      </c>
      <c r="C18" s="6" t="s">
        <v>151</v>
      </c>
      <c r="D18" s="6" t="s">
        <v>145</v>
      </c>
      <c r="E18" s="6" t="s">
        <v>63</v>
      </c>
      <c r="F18" s="6" t="s">
        <v>42</v>
      </c>
      <c r="G18" s="6" t="s">
        <v>103</v>
      </c>
      <c r="H18" s="6" t="s">
        <v>46</v>
      </c>
      <c r="I18" s="6" t="s">
        <v>48</v>
      </c>
      <c r="J18" s="6" t="s">
        <v>50</v>
      </c>
    </row>
    <row r="19">
      <c r="A19" s="8" t="s">
        <v>30</v>
      </c>
      <c r="B19" s="6" t="s">
        <v>156</v>
      </c>
      <c r="C19" s="6" t="s">
        <v>157</v>
      </c>
      <c r="D19" s="6" t="s">
        <v>158</v>
      </c>
      <c r="E19" s="6" t="s">
        <v>159</v>
      </c>
      <c r="F19" s="6" t="s">
        <v>42</v>
      </c>
      <c r="G19" s="6" t="s">
        <v>44</v>
      </c>
      <c r="H19" s="6" t="s">
        <v>46</v>
      </c>
      <c r="I19" s="6" t="s">
        <v>48</v>
      </c>
      <c r="J19" s="6" t="s">
        <v>162</v>
      </c>
    </row>
    <row r="20">
      <c r="A20" s="8" t="s">
        <v>30</v>
      </c>
      <c r="B20" s="6" t="s">
        <v>163</v>
      </c>
      <c r="C20" s="6" t="s">
        <v>164</v>
      </c>
      <c r="D20" s="6" t="s">
        <v>158</v>
      </c>
      <c r="E20" s="6" t="s">
        <v>159</v>
      </c>
      <c r="F20" s="6" t="s">
        <v>42</v>
      </c>
      <c r="G20" s="6" t="s">
        <v>103</v>
      </c>
      <c r="H20" s="6" t="s">
        <v>46</v>
      </c>
      <c r="I20" s="6" t="s">
        <v>48</v>
      </c>
      <c r="J20" s="6" t="s">
        <v>162</v>
      </c>
    </row>
    <row r="21" ht="15.75" customHeight="1">
      <c r="A21" s="8" t="s">
        <v>30</v>
      </c>
      <c r="B21" s="6" t="s">
        <v>168</v>
      </c>
      <c r="C21" s="6" t="s">
        <v>169</v>
      </c>
      <c r="D21" s="6" t="s">
        <v>61</v>
      </c>
      <c r="E21" s="6" t="s">
        <v>22</v>
      </c>
      <c r="F21" s="6" t="s">
        <v>42</v>
      </c>
      <c r="G21" s="6" t="s">
        <v>44</v>
      </c>
      <c r="H21" s="6" t="s">
        <v>46</v>
      </c>
      <c r="I21" s="6" t="s">
        <v>48</v>
      </c>
      <c r="J21" s="6" t="s">
        <v>172</v>
      </c>
    </row>
    <row r="22" ht="15.75" customHeight="1">
      <c r="A22" s="8" t="s">
        <v>30</v>
      </c>
      <c r="B22" s="6" t="s">
        <v>49</v>
      </c>
      <c r="C22" s="6" t="s">
        <v>56</v>
      </c>
      <c r="D22" s="6" t="s">
        <v>61</v>
      </c>
      <c r="E22" s="6" t="s">
        <v>22</v>
      </c>
      <c r="F22" s="6" t="s">
        <v>42</v>
      </c>
      <c r="G22" s="6" t="s">
        <v>44</v>
      </c>
      <c r="H22" s="6" t="s">
        <v>46</v>
      </c>
      <c r="I22" s="6" t="s">
        <v>48</v>
      </c>
      <c r="J22" s="6" t="s">
        <v>172</v>
      </c>
    </row>
    <row r="23" ht="15.75" customHeight="1">
      <c r="A23" s="8" t="s">
        <v>30</v>
      </c>
      <c r="B23" s="6" t="s">
        <v>175</v>
      </c>
      <c r="C23" s="6" t="s">
        <v>177</v>
      </c>
      <c r="D23" s="6" t="s">
        <v>61</v>
      </c>
      <c r="E23" s="6" t="s">
        <v>73</v>
      </c>
      <c r="F23" s="6" t="s">
        <v>42</v>
      </c>
      <c r="G23" s="6" t="s">
        <v>44</v>
      </c>
      <c r="H23" s="6" t="s">
        <v>46</v>
      </c>
      <c r="I23" s="6" t="s">
        <v>48</v>
      </c>
      <c r="J23" s="6" t="s">
        <v>172</v>
      </c>
    </row>
    <row r="24" ht="15.75" customHeight="1">
      <c r="A24" s="8" t="s">
        <v>30</v>
      </c>
      <c r="B24" s="6" t="s">
        <v>179</v>
      </c>
      <c r="C24" s="6" t="s">
        <v>180</v>
      </c>
      <c r="D24" s="6" t="s">
        <v>61</v>
      </c>
      <c r="E24" s="6" t="s">
        <v>63</v>
      </c>
      <c r="F24" s="6" t="s">
        <v>42</v>
      </c>
      <c r="G24" s="6" t="s">
        <v>44</v>
      </c>
      <c r="H24" s="6" t="s">
        <v>46</v>
      </c>
      <c r="I24" s="6" t="s">
        <v>48</v>
      </c>
      <c r="J24" s="6" t="s">
        <v>172</v>
      </c>
    </row>
    <row r="25" ht="15.75" customHeight="1">
      <c r="A25" s="8" t="s">
        <v>30</v>
      </c>
      <c r="B25" s="6" t="s">
        <v>183</v>
      </c>
      <c r="C25" s="6" t="s">
        <v>184</v>
      </c>
      <c r="D25" s="6" t="s">
        <v>61</v>
      </c>
      <c r="E25" s="6" t="s">
        <v>84</v>
      </c>
      <c r="F25" s="6" t="s">
        <v>42</v>
      </c>
      <c r="G25" s="6" t="s">
        <v>103</v>
      </c>
      <c r="H25" s="6" t="s">
        <v>46</v>
      </c>
      <c r="I25" s="6" t="s">
        <v>48</v>
      </c>
      <c r="J25" s="6" t="s">
        <v>172</v>
      </c>
    </row>
    <row r="26" ht="15.75" customHeight="1">
      <c r="A26" s="11" t="s">
        <v>186</v>
      </c>
      <c r="B26" s="11" t="s">
        <v>188</v>
      </c>
      <c r="C26" s="11" t="s">
        <v>189</v>
      </c>
      <c r="D26" s="11" t="s">
        <v>40</v>
      </c>
      <c r="E26" s="11" t="s">
        <v>41</v>
      </c>
      <c r="F26" s="11" t="s">
        <v>74</v>
      </c>
      <c r="G26" s="11" t="s">
        <v>44</v>
      </c>
      <c r="H26" s="11" t="s">
        <v>46</v>
      </c>
      <c r="I26" s="11" t="s">
        <v>48</v>
      </c>
      <c r="J26" s="11" t="s">
        <v>50</v>
      </c>
    </row>
    <row r="27" ht="15.75" customHeight="1">
      <c r="A27" s="11" t="s">
        <v>186</v>
      </c>
      <c r="B27" s="11" t="s">
        <v>193</v>
      </c>
      <c r="C27" s="11" t="s">
        <v>195</v>
      </c>
      <c r="D27" s="11" t="s">
        <v>40</v>
      </c>
      <c r="E27" s="11" t="s">
        <v>73</v>
      </c>
      <c r="F27" s="11" t="s">
        <v>196</v>
      </c>
      <c r="G27" s="11" t="s">
        <v>44</v>
      </c>
      <c r="H27" s="11" t="s">
        <v>46</v>
      </c>
      <c r="I27" s="11" t="s">
        <v>48</v>
      </c>
      <c r="J27" s="11" t="s">
        <v>50</v>
      </c>
    </row>
    <row r="28" ht="15.75" customHeight="1">
      <c r="A28" s="11" t="s">
        <v>186</v>
      </c>
      <c r="B28" s="11" t="s">
        <v>198</v>
      </c>
      <c r="C28" s="11" t="s">
        <v>200</v>
      </c>
      <c r="D28" s="11" t="s">
        <v>40</v>
      </c>
      <c r="E28" s="11" t="s">
        <v>41</v>
      </c>
      <c r="F28" s="11" t="s">
        <v>74</v>
      </c>
      <c r="G28" s="11" t="s">
        <v>44</v>
      </c>
      <c r="H28" s="11" t="s">
        <v>46</v>
      </c>
      <c r="I28" s="11" t="s">
        <v>48</v>
      </c>
      <c r="J28" s="11" t="s">
        <v>50</v>
      </c>
    </row>
    <row r="29" ht="15.75" customHeight="1">
      <c r="A29" s="11" t="s">
        <v>186</v>
      </c>
      <c r="B29" s="11" t="s">
        <v>201</v>
      </c>
      <c r="C29" s="11" t="s">
        <v>203</v>
      </c>
      <c r="D29" s="11" t="s">
        <v>145</v>
      </c>
      <c r="E29" s="11" t="s">
        <v>63</v>
      </c>
      <c r="F29" s="11" t="s">
        <v>196</v>
      </c>
      <c r="G29" s="11" t="s">
        <v>44</v>
      </c>
      <c r="H29" s="11" t="s">
        <v>46</v>
      </c>
      <c r="I29" s="11" t="s">
        <v>48</v>
      </c>
      <c r="J29" s="11" t="s">
        <v>50</v>
      </c>
    </row>
    <row r="30" ht="15.75" customHeight="1">
      <c r="A30" s="11" t="s">
        <v>186</v>
      </c>
      <c r="B30" s="11" t="s">
        <v>206</v>
      </c>
      <c r="C30" s="11" t="s">
        <v>207</v>
      </c>
      <c r="D30" s="11" t="s">
        <v>145</v>
      </c>
      <c r="E30" s="11" t="s">
        <v>63</v>
      </c>
      <c r="F30" s="11" t="s">
        <v>196</v>
      </c>
      <c r="G30" s="11" t="s">
        <v>44</v>
      </c>
      <c r="H30" s="11" t="s">
        <v>46</v>
      </c>
      <c r="I30" s="11" t="s">
        <v>48</v>
      </c>
      <c r="J30" s="11" t="s">
        <v>50</v>
      </c>
    </row>
    <row r="31" ht="15.75" customHeight="1">
      <c r="A31" s="11" t="s">
        <v>186</v>
      </c>
      <c r="B31" s="11" t="s">
        <v>208</v>
      </c>
      <c r="C31" s="11" t="s">
        <v>209</v>
      </c>
      <c r="D31" s="11" t="s">
        <v>118</v>
      </c>
      <c r="E31" s="11" t="s">
        <v>119</v>
      </c>
      <c r="F31" s="11" t="s">
        <v>196</v>
      </c>
      <c r="G31" s="11" t="s">
        <v>44</v>
      </c>
      <c r="H31" s="11" t="s">
        <v>46</v>
      </c>
      <c r="I31" s="11" t="s">
        <v>48</v>
      </c>
      <c r="J31" s="11" t="s">
        <v>122</v>
      </c>
    </row>
    <row r="32" ht="15.75" customHeight="1">
      <c r="A32" s="11" t="s">
        <v>186</v>
      </c>
      <c r="B32" s="11" t="s">
        <v>212</v>
      </c>
      <c r="C32" s="11" t="s">
        <v>213</v>
      </c>
      <c r="D32" s="11" t="s">
        <v>158</v>
      </c>
      <c r="E32" s="11" t="s">
        <v>84</v>
      </c>
      <c r="F32" s="11" t="s">
        <v>42</v>
      </c>
      <c r="G32" s="11" t="s">
        <v>103</v>
      </c>
      <c r="H32" s="11" t="s">
        <v>46</v>
      </c>
      <c r="I32" s="11" t="s">
        <v>48</v>
      </c>
      <c r="J32" s="11" t="s">
        <v>162</v>
      </c>
    </row>
    <row r="33" ht="15.75" customHeight="1">
      <c r="A33" s="11" t="s">
        <v>186</v>
      </c>
      <c r="B33" s="11" t="s">
        <v>215</v>
      </c>
      <c r="C33" s="11" t="s">
        <v>216</v>
      </c>
      <c r="D33" s="11" t="s">
        <v>158</v>
      </c>
      <c r="E33" s="11" t="s">
        <v>159</v>
      </c>
      <c r="F33" s="11" t="s">
        <v>196</v>
      </c>
      <c r="G33" s="11" t="s">
        <v>44</v>
      </c>
      <c r="H33" s="11" t="s">
        <v>46</v>
      </c>
      <c r="I33" s="11" t="s">
        <v>48</v>
      </c>
      <c r="J33" s="11" t="s">
        <v>162</v>
      </c>
    </row>
    <row r="34" ht="15.75" customHeight="1">
      <c r="A34" s="11" t="s">
        <v>186</v>
      </c>
      <c r="B34" s="11" t="s">
        <v>220</v>
      </c>
      <c r="C34" s="11" t="s">
        <v>221</v>
      </c>
      <c r="D34" s="11" t="s">
        <v>91</v>
      </c>
      <c r="E34" s="11" t="s">
        <v>72</v>
      </c>
      <c r="F34" s="11" t="s">
        <v>42</v>
      </c>
      <c r="G34" s="11" t="s">
        <v>44</v>
      </c>
      <c r="H34" s="11" t="s">
        <v>46</v>
      </c>
      <c r="I34" s="11" t="s">
        <v>48</v>
      </c>
      <c r="J34" s="11" t="s">
        <v>94</v>
      </c>
    </row>
    <row r="35" ht="15.75" customHeight="1">
      <c r="A35" s="11" t="s">
        <v>186</v>
      </c>
      <c r="B35" s="11" t="s">
        <v>223</v>
      </c>
      <c r="C35" s="11" t="s">
        <v>224</v>
      </c>
      <c r="D35" s="11" t="s">
        <v>225</v>
      </c>
      <c r="E35" s="11" t="s">
        <v>197</v>
      </c>
      <c r="F35" s="11" t="s">
        <v>42</v>
      </c>
      <c r="G35" s="11" t="s">
        <v>103</v>
      </c>
      <c r="H35" s="11" t="s">
        <v>46</v>
      </c>
      <c r="I35" s="11" t="s">
        <v>48</v>
      </c>
      <c r="J35" s="11" t="s">
        <v>50</v>
      </c>
    </row>
    <row r="36" ht="15.75" customHeight="1">
      <c r="A36" s="11" t="s">
        <v>186</v>
      </c>
      <c r="B36" s="11" t="s">
        <v>228</v>
      </c>
      <c r="C36" s="11" t="s">
        <v>230</v>
      </c>
      <c r="D36" s="11" t="s">
        <v>231</v>
      </c>
      <c r="E36" s="11" t="s">
        <v>232</v>
      </c>
      <c r="F36" s="11" t="s">
        <v>42</v>
      </c>
      <c r="G36" s="11" t="s">
        <v>103</v>
      </c>
      <c r="H36" s="11" t="s">
        <v>46</v>
      </c>
      <c r="I36" s="11" t="s">
        <v>48</v>
      </c>
      <c r="J36" s="11" t="s">
        <v>50</v>
      </c>
    </row>
    <row r="37" ht="15.75" customHeight="1">
      <c r="A37" s="11" t="s">
        <v>186</v>
      </c>
      <c r="B37" s="11" t="s">
        <v>234</v>
      </c>
      <c r="C37" s="11" t="s">
        <v>235</v>
      </c>
      <c r="D37" s="11" t="s">
        <v>236</v>
      </c>
      <c r="E37" s="11" t="s">
        <v>73</v>
      </c>
      <c r="F37" s="11" t="s">
        <v>237</v>
      </c>
      <c r="G37" s="11" t="s">
        <v>44</v>
      </c>
      <c r="H37" s="11" t="s">
        <v>46</v>
      </c>
      <c r="I37" s="11" t="s">
        <v>48</v>
      </c>
      <c r="J37" s="11" t="s">
        <v>50</v>
      </c>
    </row>
    <row r="38" ht="15.75" customHeight="1">
      <c r="A38" s="11" t="s">
        <v>186</v>
      </c>
      <c r="B38" s="11" t="s">
        <v>239</v>
      </c>
      <c r="C38" s="11" t="s">
        <v>240</v>
      </c>
      <c r="D38" s="11" t="s">
        <v>236</v>
      </c>
      <c r="E38" s="11" t="s">
        <v>73</v>
      </c>
      <c r="F38" s="11" t="s">
        <v>237</v>
      </c>
      <c r="G38" s="11" t="s">
        <v>44</v>
      </c>
      <c r="H38" s="11" t="s">
        <v>46</v>
      </c>
      <c r="I38" s="11" t="s">
        <v>48</v>
      </c>
      <c r="J38" s="11" t="s">
        <v>50</v>
      </c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conditionalFormatting sqref="I2:I38">
    <cfRule type="containsText" dxfId="4" priority="1" operator="containsText" text="Overdue">
      <formula>NOT(ISERROR(SEARCH(("Overdue"),(I2))))</formula>
    </cfRule>
  </conditionalFormatting>
  <conditionalFormatting sqref="I2:I38">
    <cfRule type="containsText" dxfId="5" priority="2" operator="containsText" text="Due Soon">
      <formula>NOT(ISERROR(SEARCH(("Due Soon"),(I2))))</formula>
    </cfRule>
  </conditionalFormatting>
  <conditionalFormatting sqref="I2:I38">
    <cfRule type="containsText" dxfId="6" priority="3" operator="containsText" text="Scheduled">
      <formula>NOT(ISERROR(SEARCH(("Scheduled"),(I2))))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0"/>
    <col customWidth="1" min="2" max="4" width="13.0"/>
    <col customWidth="1" min="5" max="5" width="15.0"/>
    <col customWidth="1" min="6" max="6" width="14.0"/>
    <col customWidth="1" min="7" max="8" width="16.0"/>
    <col customWidth="1" min="9" max="26" width="8.63"/>
  </cols>
  <sheetData>
    <row r="1">
      <c r="A1" s="2" t="s">
        <v>310</v>
      </c>
      <c r="B1" s="2"/>
      <c r="C1" s="2"/>
      <c r="D1" s="2"/>
      <c r="E1" s="2"/>
      <c r="F1" s="2"/>
      <c r="G1" s="2"/>
      <c r="H1" s="2"/>
    </row>
    <row r="2">
      <c r="A2" s="5"/>
      <c r="B2" s="5"/>
      <c r="C2" s="5"/>
      <c r="D2" s="5"/>
      <c r="E2" s="5"/>
      <c r="F2" s="5"/>
      <c r="G2" s="5"/>
      <c r="H2" s="5"/>
    </row>
    <row r="3">
      <c r="A3" s="7" t="s">
        <v>8</v>
      </c>
      <c r="B3" s="7" t="s">
        <v>311</v>
      </c>
      <c r="C3" s="7" t="s">
        <v>87</v>
      </c>
      <c r="D3" s="7" t="s">
        <v>60</v>
      </c>
      <c r="E3" s="7" t="s">
        <v>312</v>
      </c>
      <c r="F3" s="7" t="s">
        <v>313</v>
      </c>
      <c r="G3" s="7" t="s">
        <v>314</v>
      </c>
      <c r="H3" s="7" t="s">
        <v>315</v>
      </c>
    </row>
    <row r="4">
      <c r="A4" s="10" t="s">
        <v>40</v>
      </c>
      <c r="B4" s="12">
        <f>COUNTIF('Ownership Matrix'!$C$2:$C$40,A4)</f>
        <v>8</v>
      </c>
      <c r="C4" s="12">
        <f>COUNTIFS('Ownership Matrix'!$C$2:$C$40,A4,'Ownership Matrix'!$F$2:$F$40,"Generated")</f>
        <v>5</v>
      </c>
      <c r="D4" s="12">
        <f>COUNTIFS('Ownership Matrix'!$C$2:$C$40,A4,'Ownership Matrix'!$F$2:$F$40,"Planned")</f>
        <v>3</v>
      </c>
      <c r="E4" s="12">
        <f>COUNTIFS('Ownership Matrix'!$C$2:$C$40,A4,'Ownership Matrix'!$O$2:$O$40,"Critical")+COUNTIFS('Ownership Matrix'!$C$2:$C$40,A4,'Ownership Matrix'!$O$2:$O$40,"High")</f>
        <v>5</v>
      </c>
      <c r="F4" s="12">
        <f>COUNTIFS('Ownership Matrix'!$C$2:$C$40,A4,'Ownership Matrix'!$M$2:$M$40,"*Confidential*")</f>
        <v>0</v>
      </c>
      <c r="G4" s="12">
        <f>COUNTIFS('Ownership Matrix'!$C$2:$C$40,A4,'Ownership Matrix'!$U$2:$U$40,"Assigned")</f>
        <v>8</v>
      </c>
      <c r="H4" s="12">
        <f>COUNTIFS('Review Calendar'!$D$2:$D$38,A4,'Review Calendar'!$I$2:$I$38,"Overdue")</f>
        <v>0</v>
      </c>
    </row>
    <row r="5">
      <c r="A5" s="10" t="s">
        <v>61</v>
      </c>
      <c r="B5" s="12">
        <f>COUNTIF('Ownership Matrix'!$C$2:$C$40,A5)</f>
        <v>5</v>
      </c>
      <c r="C5" s="12">
        <f>COUNTIFS('Ownership Matrix'!$C$2:$C$40,A5,'Ownership Matrix'!$F$2:$F$40,"Generated")</f>
        <v>5</v>
      </c>
      <c r="D5" s="12">
        <f>COUNTIFS('Ownership Matrix'!$C$2:$C$40,A5,'Ownership Matrix'!$F$2:$F$40,"Planned")</f>
        <v>0</v>
      </c>
      <c r="E5" s="12">
        <f>COUNTIFS('Ownership Matrix'!$C$2:$C$40,A5,'Ownership Matrix'!$O$2:$O$40,"Critical")+COUNTIFS('Ownership Matrix'!$C$2:$C$40,A5,'Ownership Matrix'!$O$2:$O$40,"High")</f>
        <v>5</v>
      </c>
      <c r="F5" s="12">
        <f>COUNTIFS('Ownership Matrix'!$C$2:$C$40,A5,'Ownership Matrix'!$M$2:$M$40,"*Confidential*")</f>
        <v>1</v>
      </c>
      <c r="G5" s="12">
        <f>COUNTIFS('Ownership Matrix'!$C$2:$C$40,A5,'Ownership Matrix'!$U$2:$U$40,"Assigned")</f>
        <v>5</v>
      </c>
      <c r="H5" s="12">
        <f>COUNTIFS('Review Calendar'!$D$2:$D$38,A5,'Review Calendar'!$I$2:$I$38,"Overdue")</f>
        <v>0</v>
      </c>
    </row>
    <row r="6">
      <c r="A6" s="10" t="s">
        <v>108</v>
      </c>
      <c r="B6" s="12">
        <f>COUNTIF('Ownership Matrix'!$C$2:$C$40,A6)</f>
        <v>2</v>
      </c>
      <c r="C6" s="12">
        <f>COUNTIFS('Ownership Matrix'!$C$2:$C$40,A6,'Ownership Matrix'!$F$2:$F$40,"Generated")</f>
        <v>2</v>
      </c>
      <c r="D6" s="12">
        <f>COUNTIFS('Ownership Matrix'!$C$2:$C$40,A6,'Ownership Matrix'!$F$2:$F$40,"Planned")</f>
        <v>0</v>
      </c>
      <c r="E6" s="12">
        <f>COUNTIFS('Ownership Matrix'!$C$2:$C$40,A6,'Ownership Matrix'!$O$2:$O$40,"Critical")+COUNTIFS('Ownership Matrix'!$C$2:$C$40,A6,'Ownership Matrix'!$O$2:$O$40,"High")</f>
        <v>2</v>
      </c>
      <c r="F6" s="12">
        <f>COUNTIFS('Ownership Matrix'!$C$2:$C$40,A6,'Ownership Matrix'!$M$2:$M$40,"*Confidential*")</f>
        <v>0</v>
      </c>
      <c r="G6" s="12">
        <f>COUNTIFS('Ownership Matrix'!$C$2:$C$40,A6,'Ownership Matrix'!$U$2:$U$40,"Assigned")</f>
        <v>2</v>
      </c>
      <c r="H6" s="12">
        <f>COUNTIFS('Review Calendar'!$D$2:$D$38,A6,'Review Calendar'!$I$2:$I$38,"Overdue")</f>
        <v>0</v>
      </c>
    </row>
    <row r="7">
      <c r="A7" s="10" t="s">
        <v>91</v>
      </c>
      <c r="B7" s="12">
        <f>COUNTIF('Ownership Matrix'!$C$2:$C$40,A7)</f>
        <v>4</v>
      </c>
      <c r="C7" s="12">
        <f>COUNTIFS('Ownership Matrix'!$C$2:$C$40,A7,'Ownership Matrix'!$F$2:$F$40,"Generated")</f>
        <v>3</v>
      </c>
      <c r="D7" s="12">
        <f>COUNTIFS('Ownership Matrix'!$C$2:$C$40,A7,'Ownership Matrix'!$F$2:$F$40,"Planned")</f>
        <v>1</v>
      </c>
      <c r="E7" s="12">
        <f>COUNTIFS('Ownership Matrix'!$C$2:$C$40,A7,'Ownership Matrix'!$O$2:$O$40,"Critical")+COUNTIFS('Ownership Matrix'!$C$2:$C$40,A7,'Ownership Matrix'!$O$2:$O$40,"High")</f>
        <v>4</v>
      </c>
      <c r="F7" s="12">
        <f>COUNTIFS('Ownership Matrix'!$C$2:$C$40,A7,'Ownership Matrix'!$M$2:$M$40,"*Confidential*")</f>
        <v>1</v>
      </c>
      <c r="G7" s="12">
        <f>COUNTIFS('Ownership Matrix'!$C$2:$C$40,A7,'Ownership Matrix'!$U$2:$U$40,"Assigned")</f>
        <v>4</v>
      </c>
      <c r="H7" s="12">
        <f>COUNTIFS('Review Calendar'!$D$2:$D$38,A7,'Review Calendar'!$I$2:$I$38,"Overdue")</f>
        <v>0</v>
      </c>
    </row>
    <row r="8">
      <c r="A8" s="10" t="s">
        <v>118</v>
      </c>
      <c r="B8" s="12">
        <f>COUNTIF('Ownership Matrix'!$C$2:$C$40,A8)</f>
        <v>5</v>
      </c>
      <c r="C8" s="12">
        <f>COUNTIFS('Ownership Matrix'!$C$2:$C$40,A8,'Ownership Matrix'!$F$2:$F$40,"Generated")</f>
        <v>5</v>
      </c>
      <c r="D8" s="12">
        <f>COUNTIFS('Ownership Matrix'!$C$2:$C$40,A8,'Ownership Matrix'!$F$2:$F$40,"Planned")</f>
        <v>0</v>
      </c>
      <c r="E8" s="12">
        <f>COUNTIFS('Ownership Matrix'!$C$2:$C$40,A8,'Ownership Matrix'!$O$2:$O$40,"Critical")+COUNTIFS('Ownership Matrix'!$C$2:$C$40,A8,'Ownership Matrix'!$O$2:$O$40,"High")</f>
        <v>5</v>
      </c>
      <c r="F8" s="12">
        <f>COUNTIFS('Ownership Matrix'!$C$2:$C$40,A8,'Ownership Matrix'!$M$2:$M$40,"*Confidential*")</f>
        <v>1</v>
      </c>
      <c r="G8" s="12">
        <f>COUNTIFS('Ownership Matrix'!$C$2:$C$40,A8,'Ownership Matrix'!$U$2:$U$40,"Assigned")</f>
        <v>5</v>
      </c>
      <c r="H8" s="12">
        <f>COUNTIFS('Review Calendar'!$D$2:$D$38,A8,'Review Calendar'!$I$2:$I$38,"Overdue")</f>
        <v>0</v>
      </c>
    </row>
    <row r="9">
      <c r="A9" s="10" t="s">
        <v>145</v>
      </c>
      <c r="B9" s="12">
        <f>COUNTIF('Ownership Matrix'!$C$2:$C$40,A9)</f>
        <v>5</v>
      </c>
      <c r="C9" s="12">
        <f>COUNTIFS('Ownership Matrix'!$C$2:$C$40,A9,'Ownership Matrix'!$F$2:$F$40,"Generated")</f>
        <v>5</v>
      </c>
      <c r="D9" s="12">
        <f>COUNTIFS('Ownership Matrix'!$C$2:$C$40,A9,'Ownership Matrix'!$F$2:$F$40,"Planned")</f>
        <v>0</v>
      </c>
      <c r="E9" s="12">
        <f>COUNTIFS('Ownership Matrix'!$C$2:$C$40,A9,'Ownership Matrix'!$O$2:$O$40,"Critical")+COUNTIFS('Ownership Matrix'!$C$2:$C$40,A9,'Ownership Matrix'!$O$2:$O$40,"High")</f>
        <v>5</v>
      </c>
      <c r="F9" s="12">
        <f>COUNTIFS('Ownership Matrix'!$C$2:$C$40,A9,'Ownership Matrix'!$M$2:$M$40,"*Confidential*")</f>
        <v>1</v>
      </c>
      <c r="G9" s="12">
        <f>COUNTIFS('Ownership Matrix'!$C$2:$C$40,A9,'Ownership Matrix'!$U$2:$U$40,"Assigned")</f>
        <v>5</v>
      </c>
      <c r="H9" s="12">
        <f>COUNTIFS('Review Calendar'!$D$2:$D$38,A9,'Review Calendar'!$I$2:$I$38,"Overdue")</f>
        <v>0</v>
      </c>
    </row>
    <row r="10">
      <c r="A10" s="10" t="s">
        <v>158</v>
      </c>
      <c r="B10" s="12">
        <f>COUNTIF('Ownership Matrix'!$C$2:$C$40,A10)</f>
        <v>4</v>
      </c>
      <c r="C10" s="12">
        <f>COUNTIFS('Ownership Matrix'!$C$2:$C$40,A10,'Ownership Matrix'!$F$2:$F$40,"Generated")</f>
        <v>4</v>
      </c>
      <c r="D10" s="12">
        <f>COUNTIFS('Ownership Matrix'!$C$2:$C$40,A10,'Ownership Matrix'!$F$2:$F$40,"Planned")</f>
        <v>0</v>
      </c>
      <c r="E10" s="12">
        <f>COUNTIFS('Ownership Matrix'!$C$2:$C$40,A10,'Ownership Matrix'!$O$2:$O$40,"Critical")+COUNTIFS('Ownership Matrix'!$C$2:$C$40,A10,'Ownership Matrix'!$O$2:$O$40,"High")</f>
        <v>4</v>
      </c>
      <c r="F10" s="12">
        <f>COUNTIFS('Ownership Matrix'!$C$2:$C$40,A10,'Ownership Matrix'!$M$2:$M$40,"*Confidential*")</f>
        <v>2</v>
      </c>
      <c r="G10" s="12">
        <f>COUNTIFS('Ownership Matrix'!$C$2:$C$40,A10,'Ownership Matrix'!$U$2:$U$40,"Assigned")</f>
        <v>4</v>
      </c>
      <c r="H10" s="12">
        <f>COUNTIFS('Review Calendar'!$D$2:$D$38,A10,'Review Calendar'!$I$2:$I$38,"Overdue")</f>
        <v>0</v>
      </c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7" t="s">
        <v>316</v>
      </c>
      <c r="B13" s="7"/>
      <c r="C13" s="7"/>
      <c r="D13" s="7"/>
      <c r="E13" s="7"/>
      <c r="F13" s="7"/>
      <c r="G13" s="7"/>
      <c r="H13" s="7"/>
    </row>
    <row r="14">
      <c r="A14" s="9" t="s">
        <v>317</v>
      </c>
      <c r="B14" s="10">
        <f>COUNTA('Ownership Matrix'!$A$2:$A$40)</f>
        <v>39</v>
      </c>
      <c r="C14" s="5"/>
      <c r="D14" s="5"/>
      <c r="E14" s="5"/>
      <c r="F14" s="5"/>
      <c r="G14" s="5"/>
      <c r="H14" s="5"/>
    </row>
    <row r="15">
      <c r="A15" s="9" t="s">
        <v>318</v>
      </c>
      <c r="B15" s="10">
        <f>COUNTIF('Ownership Matrix'!$F$2:$F$40,"Generated")</f>
        <v>35</v>
      </c>
      <c r="C15" s="5"/>
      <c r="D15" s="5"/>
      <c r="E15" s="5"/>
      <c r="F15" s="5"/>
      <c r="G15" s="5"/>
      <c r="H15" s="5"/>
    </row>
    <row r="16">
      <c r="A16" s="9" t="s">
        <v>319</v>
      </c>
      <c r="B16" s="10">
        <f>COUNTIF('Ownership Matrix'!$F$2:$F$40,"Planned")</f>
        <v>4</v>
      </c>
      <c r="C16" s="5"/>
      <c r="D16" s="5"/>
      <c r="E16" s="5"/>
      <c r="F16" s="5"/>
      <c r="G16" s="5"/>
      <c r="H16" s="5"/>
    </row>
    <row r="17">
      <c r="A17" s="9" t="s">
        <v>320</v>
      </c>
      <c r="B17" s="10">
        <f>COUNTIF('Ownership Matrix'!$O$2:$O$40,"Critical")</f>
        <v>5</v>
      </c>
      <c r="C17" s="5"/>
      <c r="D17" s="5"/>
      <c r="E17" s="5"/>
      <c r="F17" s="5"/>
      <c r="G17" s="5"/>
      <c r="H17" s="5"/>
    </row>
    <row r="18">
      <c r="A18" s="9" t="s">
        <v>321</v>
      </c>
      <c r="B18" s="10">
        <f>COUNTIF('Ownership Matrix'!$U$2:$U$40,"Assigned")</f>
        <v>39</v>
      </c>
      <c r="C18" s="5"/>
      <c r="D18" s="5"/>
      <c r="E18" s="5"/>
      <c r="F18" s="5"/>
      <c r="G18" s="5"/>
      <c r="H18" s="5"/>
    </row>
    <row r="19">
      <c r="A19" s="9" t="s">
        <v>322</v>
      </c>
      <c r="B19" s="10">
        <f>COUNTIF('Review Calendar'!$I$2:$I$38,"Due Soon")</f>
        <v>0</v>
      </c>
      <c r="C19" s="5"/>
      <c r="D19" s="5"/>
      <c r="E19" s="5"/>
      <c r="F19" s="5"/>
      <c r="G19" s="5"/>
      <c r="H19" s="5"/>
    </row>
    <row r="20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15.75" customHeight="1">
      <c r="A28" s="5"/>
      <c r="B28" s="5"/>
      <c r="C28" s="5"/>
      <c r="D28" s="5"/>
      <c r="E28" s="5"/>
      <c r="F28" s="5"/>
      <c r="G28" s="5"/>
      <c r="H28" s="5"/>
    </row>
    <row r="29" ht="15.75" customHeight="1">
      <c r="A29" s="5"/>
      <c r="B29" s="5"/>
      <c r="C29" s="5"/>
      <c r="D29" s="5"/>
      <c r="E29" s="5"/>
      <c r="F29" s="5"/>
      <c r="G29" s="5"/>
      <c r="H29" s="5"/>
    </row>
    <row r="30" ht="15.75" customHeight="1">
      <c r="A30" s="5"/>
      <c r="B30" s="5"/>
      <c r="C30" s="5"/>
      <c r="D30" s="5"/>
      <c r="E30" s="5"/>
      <c r="F30" s="5"/>
      <c r="G30" s="5"/>
      <c r="H30" s="5"/>
    </row>
    <row r="31" ht="15.75" customHeight="1">
      <c r="A31" s="5"/>
      <c r="B31" s="5"/>
      <c r="C31" s="5"/>
      <c r="D31" s="5"/>
      <c r="E31" s="5"/>
      <c r="F31" s="5"/>
      <c r="G31" s="5"/>
      <c r="H31" s="5"/>
    </row>
    <row r="32" ht="15.75" customHeight="1">
      <c r="A32" s="5"/>
      <c r="B32" s="5"/>
      <c r="C32" s="5"/>
      <c r="D32" s="5"/>
      <c r="E32" s="5"/>
      <c r="F32" s="5"/>
      <c r="G32" s="5"/>
      <c r="H32" s="5"/>
    </row>
    <row r="33" ht="15.75" customHeight="1">
      <c r="A33" s="5"/>
      <c r="B33" s="5"/>
      <c r="C33" s="5"/>
      <c r="D33" s="5"/>
      <c r="E33" s="5"/>
      <c r="F33" s="5"/>
      <c r="G33" s="5"/>
      <c r="H33" s="5"/>
    </row>
    <row r="34" ht="15.75" customHeight="1">
      <c r="A34" s="5"/>
      <c r="B34" s="5"/>
      <c r="C34" s="5"/>
      <c r="D34" s="5"/>
      <c r="E34" s="5"/>
      <c r="F34" s="5"/>
      <c r="G34" s="5"/>
      <c r="H34" s="5"/>
    </row>
    <row r="35" ht="15.75" customHeight="1">
      <c r="A35" s="5"/>
      <c r="B35" s="5"/>
      <c r="C35" s="5"/>
      <c r="D35" s="5"/>
      <c r="E35" s="5"/>
      <c r="F35" s="5"/>
      <c r="G35" s="5"/>
      <c r="H35" s="5"/>
    </row>
    <row r="36" ht="15.75" customHeight="1">
      <c r="A36" s="5"/>
      <c r="B36" s="5"/>
      <c r="C36" s="5"/>
      <c r="D36" s="5"/>
      <c r="E36" s="5"/>
      <c r="F36" s="5"/>
      <c r="G36" s="5"/>
      <c r="H36" s="5"/>
    </row>
    <row r="37" ht="15.75" customHeight="1">
      <c r="A37" s="5"/>
      <c r="B37" s="5"/>
      <c r="C37" s="5"/>
      <c r="D37" s="5"/>
      <c r="E37" s="5"/>
      <c r="F37" s="5"/>
      <c r="G37" s="5"/>
      <c r="H37" s="5"/>
    </row>
    <row r="38" ht="15.75" customHeight="1">
      <c r="A38" s="5"/>
      <c r="B38" s="5"/>
      <c r="C38" s="5"/>
      <c r="D38" s="5"/>
      <c r="E38" s="5"/>
      <c r="F38" s="5"/>
      <c r="G38" s="5"/>
      <c r="H38" s="5"/>
    </row>
    <row r="39" ht="15.75" customHeight="1">
      <c r="A39" s="5"/>
      <c r="B39" s="5"/>
      <c r="C39" s="5"/>
      <c r="D39" s="5"/>
      <c r="E39" s="5"/>
      <c r="F39" s="5"/>
      <c r="G39" s="5"/>
      <c r="H39" s="5"/>
    </row>
    <row r="40" ht="15.75" customHeight="1">
      <c r="A40" s="5"/>
      <c r="B40" s="5"/>
      <c r="C40" s="5"/>
      <c r="D40" s="5"/>
      <c r="E40" s="5"/>
      <c r="F40" s="5"/>
      <c r="G40" s="5"/>
      <c r="H40" s="5"/>
    </row>
    <row r="41" ht="15.75" customHeight="1">
      <c r="A41" s="5"/>
      <c r="B41" s="5"/>
      <c r="C41" s="5"/>
      <c r="D41" s="5"/>
      <c r="E41" s="5"/>
      <c r="F41" s="5"/>
      <c r="G41" s="5"/>
      <c r="H41" s="5"/>
    </row>
    <row r="42" ht="15.75" customHeight="1">
      <c r="A42" s="5"/>
      <c r="B42" s="5"/>
      <c r="C42" s="5"/>
      <c r="D42" s="5"/>
      <c r="E42" s="5"/>
      <c r="F42" s="5"/>
      <c r="G42" s="5"/>
      <c r="H42" s="5"/>
    </row>
    <row r="43" ht="15.75" customHeight="1">
      <c r="A43" s="5"/>
      <c r="B43" s="5"/>
      <c r="C43" s="5"/>
      <c r="D43" s="5"/>
      <c r="E43" s="5"/>
      <c r="F43" s="5"/>
      <c r="G43" s="5"/>
      <c r="H43" s="5"/>
    </row>
    <row r="44" ht="15.75" customHeight="1">
      <c r="A44" s="5"/>
      <c r="B44" s="5"/>
      <c r="C44" s="5"/>
      <c r="D44" s="5"/>
      <c r="E44" s="5"/>
      <c r="F44" s="5"/>
      <c r="G44" s="5"/>
      <c r="H44" s="5"/>
    </row>
    <row r="45" ht="15.75" customHeight="1">
      <c r="A45" s="5"/>
      <c r="B45" s="5"/>
      <c r="C45" s="5"/>
      <c r="D45" s="5"/>
      <c r="E45" s="5"/>
      <c r="F45" s="5"/>
      <c r="G45" s="5"/>
      <c r="H45" s="5"/>
    </row>
    <row r="46" ht="15.75" customHeight="1">
      <c r="A46" s="5"/>
      <c r="B46" s="5"/>
      <c r="C46" s="5"/>
      <c r="D46" s="5"/>
      <c r="E46" s="5"/>
      <c r="F46" s="5"/>
      <c r="G46" s="5"/>
      <c r="H46" s="5"/>
    </row>
    <row r="47" ht="15.75" customHeight="1">
      <c r="A47" s="5"/>
      <c r="B47" s="5"/>
      <c r="C47" s="5"/>
      <c r="D47" s="5"/>
      <c r="E47" s="5"/>
      <c r="F47" s="5"/>
      <c r="G47" s="5"/>
      <c r="H47" s="5"/>
    </row>
    <row r="48" ht="15.75" customHeight="1">
      <c r="A48" s="5"/>
      <c r="B48" s="5"/>
      <c r="C48" s="5"/>
      <c r="D48" s="5"/>
      <c r="E48" s="5"/>
      <c r="F48" s="5"/>
      <c r="G48" s="5"/>
      <c r="H48" s="5"/>
    </row>
    <row r="49" ht="15.75" customHeight="1">
      <c r="A49" s="5"/>
      <c r="B49" s="5"/>
      <c r="C49" s="5"/>
      <c r="D49" s="5"/>
      <c r="E49" s="5"/>
      <c r="F49" s="5"/>
      <c r="G49" s="5"/>
      <c r="H49" s="5"/>
    </row>
    <row r="50" ht="15.75" customHeight="1">
      <c r="A50" s="5"/>
      <c r="B50" s="5"/>
      <c r="C50" s="5"/>
      <c r="D50" s="5"/>
      <c r="E50" s="5"/>
      <c r="F50" s="5"/>
      <c r="G50" s="5"/>
      <c r="H50" s="5"/>
    </row>
    <row r="51" ht="15.75" customHeight="1">
      <c r="A51" s="5"/>
      <c r="B51" s="5"/>
      <c r="C51" s="5"/>
      <c r="D51" s="5"/>
      <c r="E51" s="5"/>
      <c r="F51" s="5"/>
      <c r="G51" s="5"/>
      <c r="H51" s="5"/>
    </row>
    <row r="52" ht="15.75" customHeight="1">
      <c r="A52" s="5"/>
      <c r="B52" s="5"/>
      <c r="C52" s="5"/>
      <c r="D52" s="5"/>
      <c r="E52" s="5"/>
      <c r="F52" s="5"/>
      <c r="G52" s="5"/>
      <c r="H52" s="5"/>
    </row>
    <row r="53" ht="15.75" customHeight="1">
      <c r="A53" s="5"/>
      <c r="B53" s="5"/>
      <c r="C53" s="5"/>
      <c r="D53" s="5"/>
      <c r="E53" s="5"/>
      <c r="F53" s="5"/>
      <c r="G53" s="5"/>
      <c r="H53" s="5"/>
    </row>
    <row r="54" ht="15.75" customHeight="1">
      <c r="A54" s="5"/>
      <c r="B54" s="5"/>
      <c r="C54" s="5"/>
      <c r="D54" s="5"/>
      <c r="E54" s="5"/>
      <c r="F54" s="5"/>
      <c r="G54" s="5"/>
      <c r="H54" s="5"/>
    </row>
    <row r="55" ht="15.75" customHeight="1">
      <c r="A55" s="5"/>
      <c r="B55" s="5"/>
      <c r="C55" s="5"/>
      <c r="D55" s="5"/>
      <c r="E55" s="5"/>
      <c r="F55" s="5"/>
      <c r="G55" s="5"/>
      <c r="H55" s="5"/>
    </row>
    <row r="56" ht="15.75" customHeight="1">
      <c r="A56" s="5"/>
      <c r="B56" s="5"/>
      <c r="C56" s="5"/>
      <c r="D56" s="5"/>
      <c r="E56" s="5"/>
      <c r="F56" s="5"/>
      <c r="G56" s="5"/>
      <c r="H56" s="5"/>
    </row>
    <row r="57" ht="15.75" customHeight="1">
      <c r="A57" s="5"/>
      <c r="B57" s="5"/>
      <c r="C57" s="5"/>
      <c r="D57" s="5"/>
      <c r="E57" s="5"/>
      <c r="F57" s="5"/>
      <c r="G57" s="5"/>
      <c r="H57" s="5"/>
    </row>
    <row r="58" ht="15.75" customHeight="1">
      <c r="A58" s="5"/>
      <c r="B58" s="5"/>
      <c r="C58" s="5"/>
      <c r="D58" s="5"/>
      <c r="E58" s="5"/>
      <c r="F58" s="5"/>
      <c r="G58" s="5"/>
      <c r="H58" s="5"/>
    </row>
    <row r="59" ht="15.75" customHeight="1">
      <c r="A59" s="5"/>
      <c r="B59" s="5"/>
      <c r="C59" s="5"/>
      <c r="D59" s="5"/>
      <c r="E59" s="5"/>
      <c r="F59" s="5"/>
      <c r="G59" s="5"/>
      <c r="H59" s="5"/>
    </row>
    <row r="60" ht="15.75" customHeight="1">
      <c r="A60" s="5"/>
      <c r="B60" s="5"/>
      <c r="C60" s="5"/>
      <c r="D60" s="5"/>
      <c r="E60" s="5"/>
      <c r="F60" s="5"/>
      <c r="G60" s="5"/>
      <c r="H60" s="5"/>
    </row>
    <row r="61" ht="15.75" customHeight="1">
      <c r="A61" s="5"/>
      <c r="B61" s="5"/>
      <c r="C61" s="5"/>
      <c r="D61" s="5"/>
      <c r="E61" s="5"/>
      <c r="F61" s="5"/>
      <c r="G61" s="5"/>
      <c r="H61" s="5"/>
    </row>
    <row r="62" ht="15.75" customHeight="1">
      <c r="A62" s="5"/>
      <c r="B62" s="5"/>
      <c r="C62" s="5"/>
      <c r="D62" s="5"/>
      <c r="E62" s="5"/>
      <c r="F62" s="5"/>
      <c r="G62" s="5"/>
      <c r="H62" s="5"/>
    </row>
    <row r="63" ht="15.75" customHeight="1">
      <c r="A63" s="5"/>
      <c r="B63" s="5"/>
      <c r="C63" s="5"/>
      <c r="D63" s="5"/>
      <c r="E63" s="5"/>
      <c r="F63" s="5"/>
      <c r="G63" s="5"/>
      <c r="H63" s="5"/>
    </row>
    <row r="64" ht="15.75" customHeight="1">
      <c r="A64" s="5"/>
      <c r="B64" s="5"/>
      <c r="C64" s="5"/>
      <c r="D64" s="5"/>
      <c r="E64" s="5"/>
      <c r="F64" s="5"/>
      <c r="G64" s="5"/>
      <c r="H64" s="5"/>
    </row>
    <row r="65" ht="15.75" customHeight="1">
      <c r="A65" s="5"/>
      <c r="B65" s="5"/>
      <c r="C65" s="5"/>
      <c r="D65" s="5"/>
      <c r="E65" s="5"/>
      <c r="F65" s="5"/>
      <c r="G65" s="5"/>
      <c r="H65" s="5"/>
    </row>
    <row r="66" ht="15.75" customHeight="1">
      <c r="A66" s="5"/>
      <c r="B66" s="5"/>
      <c r="C66" s="5"/>
      <c r="D66" s="5"/>
      <c r="E66" s="5"/>
      <c r="F66" s="5"/>
      <c r="G66" s="5"/>
      <c r="H66" s="5"/>
    </row>
    <row r="67" ht="15.75" customHeight="1">
      <c r="A67" s="5"/>
      <c r="B67" s="5"/>
      <c r="C67" s="5"/>
      <c r="D67" s="5"/>
      <c r="E67" s="5"/>
      <c r="F67" s="5"/>
      <c r="G67" s="5"/>
      <c r="H67" s="5"/>
    </row>
    <row r="68" ht="15.75" customHeight="1">
      <c r="A68" s="5"/>
      <c r="B68" s="5"/>
      <c r="C68" s="5"/>
      <c r="D68" s="5"/>
      <c r="E68" s="5"/>
      <c r="F68" s="5"/>
      <c r="G68" s="5"/>
      <c r="H68" s="5"/>
    </row>
    <row r="69" ht="15.75" customHeight="1">
      <c r="A69" s="5"/>
      <c r="B69" s="5"/>
      <c r="C69" s="5"/>
      <c r="D69" s="5"/>
      <c r="E69" s="5"/>
      <c r="F69" s="5"/>
      <c r="G69" s="5"/>
      <c r="H69" s="5"/>
    </row>
    <row r="70" ht="15.75" customHeight="1">
      <c r="A70" s="5"/>
      <c r="B70" s="5"/>
      <c r="C70" s="5"/>
      <c r="D70" s="5"/>
      <c r="E70" s="5"/>
      <c r="F70" s="5"/>
      <c r="G70" s="5"/>
      <c r="H70" s="5"/>
    </row>
    <row r="71" ht="15.75" customHeight="1">
      <c r="A71" s="5"/>
      <c r="B71" s="5"/>
      <c r="C71" s="5"/>
      <c r="D71" s="5"/>
      <c r="E71" s="5"/>
      <c r="F71" s="5"/>
      <c r="G71" s="5"/>
      <c r="H71" s="5"/>
    </row>
    <row r="72" ht="15.75" customHeight="1">
      <c r="A72" s="5"/>
      <c r="B72" s="5"/>
      <c r="C72" s="5"/>
      <c r="D72" s="5"/>
      <c r="E72" s="5"/>
      <c r="F72" s="5"/>
      <c r="G72" s="5"/>
      <c r="H72" s="5"/>
    </row>
    <row r="73" ht="15.75" customHeight="1">
      <c r="A73" s="5"/>
      <c r="B73" s="5"/>
      <c r="C73" s="5"/>
      <c r="D73" s="5"/>
      <c r="E73" s="5"/>
      <c r="F73" s="5"/>
      <c r="G73" s="5"/>
      <c r="H73" s="5"/>
    </row>
    <row r="74" ht="15.75" customHeight="1">
      <c r="A74" s="5"/>
      <c r="B74" s="5"/>
      <c r="C74" s="5"/>
      <c r="D74" s="5"/>
      <c r="E74" s="5"/>
      <c r="F74" s="5"/>
      <c r="G74" s="5"/>
      <c r="H74" s="5"/>
    </row>
    <row r="75" ht="15.75" customHeight="1">
      <c r="A75" s="5"/>
      <c r="B75" s="5"/>
      <c r="C75" s="5"/>
      <c r="D75" s="5"/>
      <c r="E75" s="5"/>
      <c r="F75" s="5"/>
      <c r="G75" s="5"/>
      <c r="H75" s="5"/>
    </row>
    <row r="76" ht="15.75" customHeight="1">
      <c r="A76" s="5"/>
      <c r="B76" s="5"/>
      <c r="C76" s="5"/>
      <c r="D76" s="5"/>
      <c r="E76" s="5"/>
      <c r="F76" s="5"/>
      <c r="G76" s="5"/>
      <c r="H76" s="5"/>
    </row>
    <row r="77" ht="15.75" customHeight="1">
      <c r="A77" s="5"/>
      <c r="B77" s="5"/>
      <c r="C77" s="5"/>
      <c r="D77" s="5"/>
      <c r="E77" s="5"/>
      <c r="F77" s="5"/>
      <c r="G77" s="5"/>
      <c r="H77" s="5"/>
    </row>
    <row r="78" ht="15.75" customHeight="1">
      <c r="A78" s="5"/>
      <c r="B78" s="5"/>
      <c r="C78" s="5"/>
      <c r="D78" s="5"/>
      <c r="E78" s="5"/>
      <c r="F78" s="5"/>
      <c r="G78" s="5"/>
      <c r="H78" s="5"/>
    </row>
    <row r="79" ht="15.75" customHeight="1">
      <c r="A79" s="5"/>
      <c r="B79" s="5"/>
      <c r="C79" s="5"/>
      <c r="D79" s="5"/>
      <c r="E79" s="5"/>
      <c r="F79" s="5"/>
      <c r="G79" s="5"/>
      <c r="H79" s="5"/>
    </row>
    <row r="80" ht="15.75" customHeight="1">
      <c r="A80" s="5"/>
      <c r="B80" s="5"/>
      <c r="C80" s="5"/>
      <c r="D80" s="5"/>
      <c r="E80" s="5"/>
      <c r="F80" s="5"/>
      <c r="G80" s="5"/>
      <c r="H80" s="5"/>
    </row>
    <row r="81" ht="15.75" customHeight="1">
      <c r="A81" s="5"/>
      <c r="B81" s="5"/>
      <c r="C81" s="5"/>
      <c r="D81" s="5"/>
      <c r="E81" s="5"/>
      <c r="F81" s="5"/>
      <c r="G81" s="5"/>
      <c r="H81" s="5"/>
    </row>
    <row r="82" ht="15.75" customHeight="1">
      <c r="A82" s="5"/>
      <c r="B82" s="5"/>
      <c r="C82" s="5"/>
      <c r="D82" s="5"/>
      <c r="E82" s="5"/>
      <c r="F82" s="5"/>
      <c r="G82" s="5"/>
      <c r="H82" s="5"/>
    </row>
    <row r="83" ht="15.75" customHeight="1">
      <c r="A83" s="5"/>
      <c r="B83" s="5"/>
      <c r="C83" s="5"/>
      <c r="D83" s="5"/>
      <c r="E83" s="5"/>
      <c r="F83" s="5"/>
      <c r="G83" s="5"/>
      <c r="H83" s="5"/>
    </row>
    <row r="84" ht="15.75" customHeight="1">
      <c r="A84" s="5"/>
      <c r="B84" s="5"/>
      <c r="C84" s="5"/>
      <c r="D84" s="5"/>
      <c r="E84" s="5"/>
      <c r="F84" s="5"/>
      <c r="G84" s="5"/>
      <c r="H84" s="5"/>
    </row>
    <row r="85" ht="15.75" customHeight="1">
      <c r="A85" s="5"/>
      <c r="B85" s="5"/>
      <c r="C85" s="5"/>
      <c r="D85" s="5"/>
      <c r="E85" s="5"/>
      <c r="F85" s="5"/>
      <c r="G85" s="5"/>
      <c r="H85" s="5"/>
    </row>
    <row r="86" ht="15.75" customHeight="1">
      <c r="A86" s="5"/>
      <c r="B86" s="5"/>
      <c r="C86" s="5"/>
      <c r="D86" s="5"/>
      <c r="E86" s="5"/>
      <c r="F86" s="5"/>
      <c r="G86" s="5"/>
      <c r="H86" s="5"/>
    </row>
    <row r="87" ht="15.75" customHeight="1">
      <c r="A87" s="5"/>
      <c r="B87" s="5"/>
      <c r="C87" s="5"/>
      <c r="D87" s="5"/>
      <c r="E87" s="5"/>
      <c r="F87" s="5"/>
      <c r="G87" s="5"/>
      <c r="H87" s="5"/>
    </row>
    <row r="88" ht="15.75" customHeight="1">
      <c r="A88" s="5"/>
      <c r="B88" s="5"/>
      <c r="C88" s="5"/>
      <c r="D88" s="5"/>
      <c r="E88" s="5"/>
      <c r="F88" s="5"/>
      <c r="G88" s="5"/>
      <c r="H88" s="5"/>
    </row>
    <row r="89" ht="15.75" customHeight="1">
      <c r="A89" s="5"/>
      <c r="B89" s="5"/>
      <c r="C89" s="5"/>
      <c r="D89" s="5"/>
      <c r="E89" s="5"/>
      <c r="F89" s="5"/>
      <c r="G89" s="5"/>
      <c r="H89" s="5"/>
    </row>
    <row r="90" ht="15.75" customHeight="1">
      <c r="A90" s="5"/>
      <c r="B90" s="5"/>
      <c r="C90" s="5"/>
      <c r="D90" s="5"/>
      <c r="E90" s="5"/>
      <c r="F90" s="5"/>
      <c r="G90" s="5"/>
      <c r="H90" s="5"/>
    </row>
    <row r="91" ht="15.75" customHeight="1">
      <c r="A91" s="5"/>
      <c r="B91" s="5"/>
      <c r="C91" s="5"/>
      <c r="D91" s="5"/>
      <c r="E91" s="5"/>
      <c r="F91" s="5"/>
      <c r="G91" s="5"/>
      <c r="H91" s="5"/>
    </row>
    <row r="92" ht="15.75" customHeight="1">
      <c r="A92" s="5"/>
      <c r="B92" s="5"/>
      <c r="C92" s="5"/>
      <c r="D92" s="5"/>
      <c r="E92" s="5"/>
      <c r="F92" s="5"/>
      <c r="G92" s="5"/>
      <c r="H92" s="5"/>
    </row>
    <row r="93" ht="15.75" customHeight="1">
      <c r="A93" s="5"/>
      <c r="B93" s="5"/>
      <c r="C93" s="5"/>
      <c r="D93" s="5"/>
      <c r="E93" s="5"/>
      <c r="F93" s="5"/>
      <c r="G93" s="5"/>
      <c r="H93" s="5"/>
    </row>
    <row r="94" ht="15.75" customHeight="1">
      <c r="A94" s="5"/>
      <c r="B94" s="5"/>
      <c r="C94" s="5"/>
      <c r="D94" s="5"/>
      <c r="E94" s="5"/>
      <c r="F94" s="5"/>
      <c r="G94" s="5"/>
      <c r="H94" s="5"/>
    </row>
    <row r="95" ht="15.75" customHeight="1">
      <c r="A95" s="5"/>
      <c r="B95" s="5"/>
      <c r="C95" s="5"/>
      <c r="D95" s="5"/>
      <c r="E95" s="5"/>
      <c r="F95" s="5"/>
      <c r="G95" s="5"/>
      <c r="H95" s="5"/>
    </row>
    <row r="96" ht="15.75" customHeight="1">
      <c r="A96" s="5"/>
      <c r="B96" s="5"/>
      <c r="C96" s="5"/>
      <c r="D96" s="5"/>
      <c r="E96" s="5"/>
      <c r="F96" s="5"/>
      <c r="G96" s="5"/>
      <c r="H96" s="5"/>
    </row>
    <row r="97" ht="15.75" customHeight="1">
      <c r="A97" s="5"/>
      <c r="B97" s="5"/>
      <c r="C97" s="5"/>
      <c r="D97" s="5"/>
      <c r="E97" s="5"/>
      <c r="F97" s="5"/>
      <c r="G97" s="5"/>
      <c r="H97" s="5"/>
    </row>
    <row r="98" ht="15.75" customHeight="1">
      <c r="A98" s="5"/>
      <c r="B98" s="5"/>
      <c r="C98" s="5"/>
      <c r="D98" s="5"/>
      <c r="E98" s="5"/>
      <c r="F98" s="5"/>
      <c r="G98" s="5"/>
      <c r="H98" s="5"/>
    </row>
    <row r="99" ht="15.75" customHeight="1">
      <c r="A99" s="5"/>
      <c r="B99" s="5"/>
      <c r="C99" s="5"/>
      <c r="D99" s="5"/>
      <c r="E99" s="5"/>
      <c r="F99" s="5"/>
      <c r="G99" s="5"/>
      <c r="H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24.0"/>
    <col customWidth="1" min="3" max="26" width="8.63"/>
  </cols>
  <sheetData>
    <row r="1">
      <c r="A1" s="3" t="s">
        <v>323</v>
      </c>
      <c r="B1" s="3" t="s">
        <v>324</v>
      </c>
    </row>
    <row r="2">
      <c r="A2" s="6" t="s">
        <v>14</v>
      </c>
      <c r="B2" s="6" t="s">
        <v>87</v>
      </c>
    </row>
    <row r="3">
      <c r="A3" s="6" t="s">
        <v>14</v>
      </c>
      <c r="B3" s="6" t="s">
        <v>60</v>
      </c>
    </row>
    <row r="4">
      <c r="A4" s="6" t="s">
        <v>14</v>
      </c>
      <c r="B4" s="6" t="s">
        <v>325</v>
      </c>
    </row>
    <row r="5">
      <c r="A5" s="6" t="s">
        <v>14</v>
      </c>
      <c r="B5" s="6" t="s">
        <v>326</v>
      </c>
    </row>
    <row r="6">
      <c r="A6" s="6" t="s">
        <v>20</v>
      </c>
      <c r="B6" s="6" t="s">
        <v>196</v>
      </c>
    </row>
    <row r="7">
      <c r="A7" s="6" t="s">
        <v>20</v>
      </c>
      <c r="B7" s="6" t="s">
        <v>42</v>
      </c>
    </row>
    <row r="8">
      <c r="A8" s="6" t="s">
        <v>20</v>
      </c>
      <c r="B8" s="6" t="s">
        <v>74</v>
      </c>
    </row>
    <row r="9">
      <c r="A9" s="6" t="s">
        <v>20</v>
      </c>
      <c r="B9" s="6" t="s">
        <v>237</v>
      </c>
    </row>
    <row r="10">
      <c r="A10" s="6" t="s">
        <v>24</v>
      </c>
      <c r="B10" s="6" t="s">
        <v>327</v>
      </c>
    </row>
    <row r="11">
      <c r="A11" s="6" t="s">
        <v>24</v>
      </c>
      <c r="B11" s="6" t="s">
        <v>328</v>
      </c>
    </row>
    <row r="12">
      <c r="A12" s="6" t="s">
        <v>24</v>
      </c>
      <c r="B12" s="6" t="s">
        <v>103</v>
      </c>
    </row>
    <row r="13">
      <c r="A13" s="6" t="s">
        <v>24</v>
      </c>
      <c r="B13" s="6" t="s">
        <v>44</v>
      </c>
    </row>
    <row r="14">
      <c r="A14" s="6" t="s">
        <v>26</v>
      </c>
      <c r="B14" s="6" t="s">
        <v>329</v>
      </c>
    </row>
    <row r="15">
      <c r="A15" s="6" t="s">
        <v>26</v>
      </c>
      <c r="B15" s="6" t="s">
        <v>330</v>
      </c>
    </row>
    <row r="16">
      <c r="A16" s="6" t="s">
        <v>26</v>
      </c>
      <c r="B16" s="6" t="s">
        <v>48</v>
      </c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 ht="15.75" customHeight="1">
      <c r="A21" s="5"/>
      <c r="B21" s="5"/>
    </row>
    <row r="22" ht="15.75" customHeight="1">
      <c r="A22" s="5"/>
      <c r="B22" s="5"/>
    </row>
    <row r="23" ht="15.75" customHeight="1">
      <c r="A23" s="5"/>
      <c r="B23" s="5"/>
    </row>
    <row r="24" ht="15.75" customHeight="1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A40" s="5"/>
      <c r="B40" s="5"/>
    </row>
    <row r="41" ht="15.75" customHeight="1">
      <c r="A41" s="5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>
      <c r="A220" s="5"/>
      <c r="B220" s="5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2026-07-24T18:52:08Z</dcterms:created>
  <dc:creator>openpyxl</dc:creator>
</cp:coreProperties>
</file>