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f0f520e13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Control" sheetId="1" r:id="Rdef72a63c0474fb2"/>
    <x:sheet xmlns:r="http://schemas.openxmlformats.org/officeDocument/2006/relationships" name="Temperature Limits" sheetId="2" r:id="R3ef3da1a20574f5d"/>
    <x:sheet xmlns:r="http://schemas.openxmlformats.org/officeDocument/2006/relationships" name="Cold Chain Register" sheetId="3" r:id="Rb7183998373a40aa"/>
    <x:sheet xmlns:r="http://schemas.openxmlformats.org/officeDocument/2006/relationships" name="Corrective Actions" sheetId="4" r:id="R834f68545d2c4fc3"/>
    <x:sheet xmlns:r="http://schemas.openxmlformats.org/officeDocument/2006/relationships" name="Summary" sheetId="5" r:id="Rfb1a62f83c4f4820"/>
    <x:sheet xmlns:r="http://schemas.openxmlformats.org/officeDocument/2006/relationships" name="Instructions" sheetId="6" r:id="R0fd164455b99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 hh:mm"/>
    <x:numFmt numFmtId="202" formatCode="yyyy-mm-dd"/>
    <x:numFmt numFmtId="203" formatCode="#,##0"/>
  </x:numFmts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200" fontId="6" fillId="0" borderId="1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wrapText="1"/>
    </x:xf>
    <x:xf numFmtId="201" fontId="10" fillId="0" borderId="1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3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</x:dxf>
    <x:dxf>
      <x:font>
        <x:b/>
        <x:color rgb="FF006100"/>
      </x:font>
    </x:dxf>
    <x:dxf>
      <x:font>
        <x:b/>
      </x:font>
    </x:dxf>
    <x:dxf>
      <x:font>
        <x:b/>
        <x:color rgb="FF9C0006"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5da087b3e4c82" /><Relationship Type="http://schemas.openxmlformats.org/officeDocument/2006/relationships/theme" Target="/xl/theme/theme1.xml" Id="R4ca439e3c0ea4eb6" /><Relationship Type="http://schemas.openxmlformats.org/officeDocument/2006/relationships/sharedStrings" Target="/xl/sharedStrings.xml" Id="R2be89050f82840f9" /><Relationship Type="http://schemas.openxmlformats.org/officeDocument/2006/relationships/worksheet" Target="/xl/worksheets/sheet1.xml" Id="Rdef72a63c0474fb2" /><Relationship Type="http://schemas.openxmlformats.org/officeDocument/2006/relationships/worksheet" Target="/xl/worksheets/sheet2.xml" Id="R3ef3da1a20574f5d" /><Relationship Type="http://schemas.openxmlformats.org/officeDocument/2006/relationships/worksheet" Target="/xl/worksheets/sheet3.xml" Id="Rb7183998373a40aa" /><Relationship Type="http://schemas.openxmlformats.org/officeDocument/2006/relationships/worksheet" Target="/xl/worksheets/sheet4.xml" Id="R834f68545d2c4fc3" /><Relationship Type="http://schemas.openxmlformats.org/officeDocument/2006/relationships/worksheet" Target="/xl/worksheets/sheet5.xml" Id="Rfb1a62f83c4f4820" /><Relationship Type="http://schemas.openxmlformats.org/officeDocument/2006/relationships/worksheet" Target="/xl/worksheets/sheet6.xml" Id="R0fd164455b994d24" /></Relationships>
</file>

<file path=xl/tables/table1.xml><?xml version="1.0" encoding="utf-8"?>
<x:table xmlns:x="http://schemas.openxmlformats.org/spreadsheetml/2006/main" id="1" name="TemperatureLimitsTable" displayName="TemperatureLimitsTable" ref="A3:F13" headerRowCount="1" totalsRowCount="0" totalsRowShown="0">
  <x:tableColumns count="6">
    <x:tableColumn id="1" name="Product / Area Category"/>
    <x:tableColumn id="2" name="Min °C"/>
    <x:tableColumn id="3" name="Max °C"/>
    <x:tableColumn id="4" name="Monitoring Frequency"/>
    <x:tableColumn id="5" name="Responsible Area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dChainRegisterTable" displayName="ColdChainRegisterTable" ref="A4:Q204" headerRowCount="1" totalsRowCount="0" totalsRowShown="0">
  <x:tableColumns count="17">
    <x:tableColumn id="1" name="Record ID"/>
    <x:tableColumn id="2" name="Date"/>
    <x:tableColumn id="3" name="Shift"/>
    <x:tableColumn id="4" name="Area"/>
    <x:tableColumn id="5" name="Product / Batch"/>
    <x:tableColumn id="6" name="Storage Unit"/>
    <x:tableColumn id="7" name="Required Min °C"/>
    <x:tableColumn id="8" name="Required Max °C"/>
    <x:tableColumn id="9" name="Actual Temp °C"/>
    <x:tableColumn id="10" name="Within Range?"/>
    <x:tableColumn id="11" name="Deviation Type"/>
    <x:tableColumn id="12" name="Action Required?"/>
    <x:tableColumn id="13" name="Corrective Action ID"/>
    <x:tableColumn id="14" name="Responsible"/>
    <x:tableColumn id="15" name="Verification Status"/>
    <x:tableColumn id="16" name="QA Release Status"/>
    <x:tableColumn id="17" name="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ctiveActionsTable" displayName="CorrectiveActionsTable" ref="A3:J204" headerRowCount="1" totalsRowCount="0" totalsRowShown="0">
  <x:tableColumns count="10">
    <x:tableColumn id="1" name="Corrective Action ID"/>
    <x:tableColumn id="2" name="Linked Record ID"/>
    <x:tableColumn id="3" name="Deviation Type"/>
    <x:tableColumn id="4" name="Immediate Action"/>
    <x:tableColumn id="5" name="Root Cause"/>
    <x:tableColumn id="6" name="Preventive Action"/>
    <x:tableColumn id="7" name="Owner"/>
    <x:tableColumn id="8" name="Due Date"/>
    <x:tableColumn id="9" name="Status"/>
    <x:tableColumn id="10" name="Verification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374b794dc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31809f21f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112d355bca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33" t="str">
        <x:v>BSF-OPS-001 — Cold Chain Control Register</x:v>
      </x:c>
      <x:c r="B1" s="33"/>
    </x:row>
    <x:row r="2" ht="15" hidden="0" customHeight="1">
      <x:c r="A2" s="34"/>
      <x:c r="B2" s="34"/>
    </x:row>
    <x:row r="3" ht="15" hidden="0" customHeight="1">
      <x:c r="A3" s="35" t="str">
        <x:v>Document Code</x:v>
      </x:c>
      <x:c r="B3" s="36" t="str">
        <x:v>BSF-OPS-001</x:v>
      </x:c>
    </x:row>
    <x:row r="4" ht="15" hidden="0" customHeight="1">
      <x:c r="A4" s="35" t="str">
        <x:v>Document Title</x:v>
      </x:c>
      <x:c r="B4" s="36" t="str">
        <x:v>Cold Chain Control Register</x:v>
      </x:c>
    </x:row>
    <x:row r="5" ht="24" hidden="0" customHeight="1">
      <x:c r="A5" s="35" t="str">
        <x:v>Keywords</x:v>
      </x:c>
      <x:c r="B5" s="36" t="str">
        <x:v>cold chain; temperature control; seafood storage; receiving; dispatch; frozen product; chilled product; deviation; corrective action; HACCP; BRCGS Food Safety; IFS Food; MSC Chain of Custody; BASC; traceability</x:v>
      </x:c>
    </x:row>
    <x:row r="6" ht="15" hidden="0" customHeight="1">
      <x:c r="A6" s="35" t="str">
        <x:v>Document Type</x:v>
      </x:c>
      <x:c r="B6" s="36" t="str">
        <x:v>Operational Register</x:v>
      </x:c>
    </x:row>
    <x:row r="7" ht="15" hidden="0" customHeight="1">
      <x:c r="A7" s="35" t="str">
        <x:v>Business Area</x:v>
      </x:c>
      <x:c r="B7" s="36" t="str">
        <x:v>Operations</x:v>
      </x:c>
    </x:row>
    <x:row r="8" ht="15" hidden="0" customHeight="1">
      <x:c r="A8" s="35" t="str">
        <x:v>Process Owner</x:v>
      </x:c>
      <x:c r="B8" s="36" t="str">
        <x:v>Operations Manager</x:v>
      </x:c>
    </x:row>
    <x:row r="9" ht="15" hidden="0" customHeight="1">
      <x:c r="A9" s="35" t="str">
        <x:v>Functional Approvers</x:v>
      </x:c>
      <x:c r="B9" s="36" t="str">
        <x:v>Quality Assurance Manager; HSE Coordinator; Supply Chain Security Coordinator</x:v>
      </x:c>
    </x:row>
    <x:row r="10" ht="24" hidden="0" customHeight="1">
      <x:c r="A10" s="35" t="str">
        <x:v>Applicable Sites</x:v>
      </x:c>
      <x:c r="B10" s="36" t="str">
        <x:v>Receiving areas, processing plants, warehouses, cold rooms, freezers, dispatch areas, refrigerated vehicles, and other BSF-controlled cold-chain points</x:v>
      </x:c>
    </x:row>
    <x:row r="11" ht="15" hidden="0" customHeight="1">
      <x:c r="A11" s="35" t="str">
        <x:v>Source Review Format</x:v>
      </x:c>
      <x:c r="B11" s="36" t="str">
        <x:v>XLSX</x:v>
      </x:c>
    </x:row>
    <x:row r="12" ht="15" hidden="0" customHeight="1">
      <x:c r="A12" s="35" t="str">
        <x:v>Target Export Format</x:v>
      </x:c>
      <x:c r="B12" s="36" t="str">
        <x:v>XLSX</x:v>
      </x:c>
    </x:row>
    <x:row r="13" ht="15" hidden="0" customHeight="1">
      <x:c r="A13" s="35" t="str">
        <x:v>Status</x:v>
      </x:c>
      <x:c r="B13" s="36" t="str">
        <x:v>Draft for Review</x:v>
      </x:c>
    </x:row>
    <x:row r="14" ht="15" hidden="0" customHeight="1">
      <x:c r="A14" s="35" t="str">
        <x:v>Version</x:v>
      </x:c>
      <x:c r="B14" s="36" t="str">
        <x:v>1.0</x:v>
      </x:c>
    </x:row>
    <x:row r="15" ht="15" hidden="0" customHeight="1">
      <x:c r="A15" s="35" t="str">
        <x:v>Effective Date</x:v>
      </x:c>
      <x:c r="B15" s="36" t="str">
        <x:v>To be confirmed upon approval</x:v>
      </x:c>
    </x:row>
    <x:row r="16" ht="24" hidden="0" customHeight="1">
      <x:c r="A16" s="35" t="str">
        <x:v>Review Frequency</x:v>
      </x:c>
      <x:c r="B16" s="36" t="str">
        <x:v>Annual or earlier after process change, temperature deviation, customer requirement, audit finding, certification update, equipment change, or cold-chain incident</x:v>
      </x:c>
    </x:row>
    <x:row r="17" ht="15" hidden="0" customHeight="1">
      <x:c r="A17" s="35" t="str">
        <x:v>Confidentiality Level</x:v>
      </x:c>
      <x:c r="B17" s="36" t="str">
        <x:v>Internal Use Only</x:v>
      </x:c>
    </x:row>
    <x:row r="18" ht="15" hidden="0" customHeight="1">
      <x:c r="A18" s="34"/>
      <x:c r="B18" s="34"/>
    </x:row>
    <x:row r="19" ht="15" hidden="0" customHeight="1">
      <x:c r="A19" s="37" t="str">
        <x:v>Purpose</x:v>
      </x:c>
      <x:c r="B19" s="37"/>
    </x:row>
    <x:row r="20">
      <x:c r="A20" s="36" t="str">
        <x:v>This workbook provides a controlled register for monitoring cold-chain temperatures, documenting deviations, assigning corrective actions, and supporting product release decisions for seafood and other temperature-sensitive products handled by BSF.</x:v>
      </x:c>
      <x:c r="B20" s="36"/>
    </x:row>
    <x:row r="21">
      <x:c r="A21" s="36"/>
      <x:c r="B21" s="36"/>
    </x:row>
    <x:row r="22">
      <x:c r="A22" s="36"/>
      <x:c r="B22" s="36"/>
    </x:row>
    <x:row r="23">
      <x:c r="A23" s="36"/>
      <x:c r="B23" s="36"/>
    </x:row>
    <x:row r="24" ht="15" hidden="0" customHeight="1">
      <x:c r="A24" s="34"/>
      <x:c r="B24" s="34"/>
    </x:row>
    <x:row r="25" ht="15" hidden="0" customHeight="1">
      <x:c r="A25" s="37" t="str">
        <x:v>Confidentiality</x:v>
      </x:c>
      <x:c r="B25" s="37"/>
    </x:row>
    <x:row r="26">
      <x:c r="A26" s="36" t="str">
        <x:v>This register is classified as Internal Use Only. Temperature records, product references, batch details, customer-related information, corrective actions, and product release decisions shall be handled according to BSF document control, quality, security, and confidentiality requirements.</x:v>
      </x:c>
      <x:c r="B26" s="36"/>
    </x:row>
    <x:row r="27">
      <x:c r="A27" s="36"/>
      <x:c r="B27" s="36"/>
    </x:row>
    <x:row r="28">
      <x:c r="A28" s="36"/>
      <x:c r="B28" s="36"/>
    </x:row>
    <x:row r="29">
      <x:c r="A29" s="36"/>
      <x:c r="B29" s="36"/>
    </x:row>
  </x:sheetData>
  <x:mergeCells>
    <x:mergeCell ref="A1:B1"/>
    <x:mergeCell ref="A19:B19"/>
    <x:mergeCell ref="A20:B23"/>
    <x:mergeCell ref="A25:B25"/>
    <x:mergeCell ref="A26:B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48" hidden="0" customWidth="1"/>
  </x:cols>
  <x:sheetData>
    <x:row r="1" ht="15" hidden="0" customHeight="1">
      <x:c r="A1" s="33" t="str">
        <x:v>Cold Chain Temperature Limits and Monitoring Points</x:v>
      </x:c>
      <x:c r="B1" s="33"/>
      <x:c r="C1" s="33"/>
      <x:c r="D1" s="33"/>
      <x:c r="E1" s="33"/>
      <x:c r="F1" s="33"/>
    </x:row>
    <x:row r="2" ht="15" hidden="0" customHeight="1">
      <x:c r="A2" s="34"/>
      <x:c r="B2" s="34"/>
      <x:c r="C2" s="34"/>
      <x:c r="D2" s="34"/>
      <x:c r="E2" s="34"/>
      <x:c r="F2" s="34"/>
    </x:row>
    <x:row r="3" ht="15" hidden="0" customHeight="1">
      <x:c r="A3" s="37" t="str">
        <x:v>Product / Area Category</x:v>
      </x:c>
      <x:c r="B3" s="37" t="str">
        <x:v>Min °C</x:v>
      </x:c>
      <x:c r="C3" s="37" t="str">
        <x:v>Max °C</x:v>
      </x:c>
      <x:c r="D3" s="37" t="str">
        <x:v>Monitoring Frequency</x:v>
      </x:c>
      <x:c r="E3" s="37" t="str">
        <x:v>Responsible Area</x:v>
      </x:c>
      <x:c r="F3" s="37" t="str">
        <x:v>Notes</x:v>
      </x:c>
    </x:row>
    <x:row r="4" ht="24" hidden="0" customHeight="1">
      <x:c r="A4" s="36" t="str">
        <x:v>Chilled raw seafood</x:v>
      </x:c>
      <x:c r="B4" s="39" t="n">
        <x:v>0</x:v>
      </x:c>
      <x:c r="C4" s="39" t="n">
        <x:v>4</x:v>
      </x:c>
      <x:c r="D4" s="36" t="str">
        <x:v>At receiving and every 4 hours</x:v>
      </x:c>
      <x:c r="E4" s="36" t="str">
        <x:v>Receiving / QA</x:v>
      </x:c>
      <x:c r="F4" s="36" t="str">
        <x:v>Product shall remain within chilled range unless customer specification is stricter.</x:v>
      </x:c>
    </x:row>
    <x:row r="5" ht="15" hidden="0" customHeight="1">
      <x:c r="A5" s="36" t="str">
        <x:v>Chilled finished product</x:v>
      </x:c>
      <x:c r="B5" s="39" t="n">
        <x:v>0</x:v>
      </x:c>
      <x:c r="C5" s="39" t="n">
        <x:v>4</x:v>
      </x:c>
      <x:c r="D5" s="36" t="str">
        <x:v>Every 4 hours</x:v>
      </x:c>
      <x:c r="E5" s="36" t="str">
        <x:v>Warehouse / QA</x:v>
      </x:c>
      <x:c r="F5" s="36" t="str">
        <x:v>Review product label and customer requirements.</x:v>
      </x:c>
    </x:row>
    <x:row r="6" ht="15" hidden="0" customHeight="1">
      <x:c r="A6" s="36" t="str">
        <x:v>Frozen seafood</x:v>
      </x:c>
      <x:c r="B6" s="39" t="n">
        <x:v>-25</x:v>
      </x:c>
      <x:c r="C6" s="39" t="n">
        <x:v>-18</x:v>
      </x:c>
      <x:c r="D6" s="36" t="str">
        <x:v>Every 4 hours</x:v>
      </x:c>
      <x:c r="E6" s="36" t="str">
        <x:v>Warehouse / QA</x:v>
      </x:c>
      <x:c r="F6" s="36" t="str">
        <x:v>Any reading above -18 °C requires QA assessment.</x:v>
      </x:c>
    </x:row>
    <x:row r="7" ht="15" hidden="0" customHeight="1">
      <x:c r="A7" s="36" t="str">
        <x:v>Cold room - chilled</x:v>
      </x:c>
      <x:c r="B7" s="39" t="n">
        <x:v>0</x:v>
      </x:c>
      <x:c r="C7" s="39" t="n">
        <x:v>4</x:v>
      </x:c>
      <x:c r="D7" s="36" t="str">
        <x:v>Every 4 hours</x:v>
      </x:c>
      <x:c r="E7" s="36" t="str">
        <x:v>Operations</x:v>
      </x:c>
      <x:c r="F7" s="36" t="str">
        <x:v>Monitor door opening, condensation, and alarms.</x:v>
      </x:c>
    </x:row>
    <x:row r="8" ht="15" hidden="0" customHeight="1">
      <x:c r="A8" s="36" t="str">
        <x:v>Freezer room</x:v>
      </x:c>
      <x:c r="B8" s="39" t="n">
        <x:v>-25</x:v>
      </x:c>
      <x:c r="C8" s="39" t="n">
        <x:v>-18</x:v>
      </x:c>
      <x:c r="D8" s="36" t="str">
        <x:v>Every 4 hours</x:v>
      </x:c>
      <x:c r="E8" s="36" t="str">
        <x:v>Operations</x:v>
      </x:c>
      <x:c r="F8" s="36" t="str">
        <x:v>Escalate refrigeration deviation immediately.</x:v>
      </x:c>
    </x:row>
    <x:row r="9" ht="15" hidden="0" customHeight="1">
      <x:c r="A9" s="36" t="str">
        <x:v>Refrigerated vehicle - chilled</x:v>
      </x:c>
      <x:c r="B9" s="39" t="n">
        <x:v>0</x:v>
      </x:c>
      <x:c r="C9" s="39" t="n">
        <x:v>4</x:v>
      </x:c>
      <x:c r="D9" s="36" t="str">
        <x:v>Before loading and at dispatch</x:v>
      </x:c>
      <x:c r="E9" s="36" t="str">
        <x:v>Logistics</x:v>
      </x:c>
      <x:c r="F9" s="36" t="str">
        <x:v>Verify vehicle pre-cooling before loading.</x:v>
      </x:c>
    </x:row>
    <x:row r="10" ht="15" hidden="0" customHeight="1">
      <x:c r="A10" s="36" t="str">
        <x:v>Refrigerated vehicle - frozen</x:v>
      </x:c>
      <x:c r="B10" s="39" t="n">
        <x:v>-25</x:v>
      </x:c>
      <x:c r="C10" s="39" t="n">
        <x:v>-18</x:v>
      </x:c>
      <x:c r="D10" s="36" t="str">
        <x:v>Before loading and at dispatch</x:v>
      </x:c>
      <x:c r="E10" s="36" t="str">
        <x:v>Logistics</x:v>
      </x:c>
      <x:c r="F10" s="36" t="str">
        <x:v>Verify vehicle temperature record before release.</x:v>
      </x:c>
    </x:row>
    <x:row r="11" ht="15" hidden="0" customHeight="1">
      <x:c r="A11" s="36" t="str">
        <x:v>Processing area exposure</x:v>
      </x:c>
      <x:c r="B11" s="39" t="n">
        <x:v>0</x:v>
      </x:c>
      <x:c r="C11" s="39" t="n">
        <x:v>10</x:v>
      </x:c>
      <x:c r="D11" s="36" t="str">
        <x:v>Per batch / process control</x:v>
      </x:c>
      <x:c r="E11" s="36" t="str">
        <x:v>Operations / QA</x:v>
      </x:c>
      <x:c r="F11" s="36" t="str">
        <x:v>Time out of refrigeration must be controlled by process instruction.</x:v>
      </x:c>
    </x:row>
    <x:row r="12" ht="15" hidden="0" customHeight="1">
      <x:c r="A12" s="36" t="str">
        <x:v>Ice storage</x:v>
      </x:c>
      <x:c r="B12" s="39" t="n">
        <x:v>-2</x:v>
      </x:c>
      <x:c r="C12" s="39" t="n">
        <x:v>2</x:v>
      </x:c>
      <x:c r="D12" s="36" t="str">
        <x:v>Daily</x:v>
      </x:c>
      <x:c r="E12" s="36" t="str">
        <x:v>Operations</x:v>
      </x:c>
      <x:c r="F12" s="36" t="str">
        <x:v>Ice shall be protected from contamination.</x:v>
      </x:c>
    </x:row>
    <x:row r="13" ht="15" hidden="0" customHeight="1">
      <x:c r="A13" s="36" t="str">
        <x:v>Corrective action trigger</x:v>
      </x:c>
      <x:c r="B13" s="39"/>
      <x:c r="C13" s="39"/>
      <x:c r="D13" s="36" t="str">
        <x:v>Immediate</x:v>
      </x:c>
      <x:c r="E13" s="36" t="str">
        <x:v>Operations / QA</x:v>
      </x:c>
      <x:c r="F13" s="36" t="str">
        <x:v>Any out-of-range reading requires documentation and QA disposition.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b8374b794dc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3" hidden="0" customWidth="1"/>
    <x:col min="10" max="10" width="16" hidden="0" customWidth="1"/>
    <x:col min="11" max="11" width="16" hidden="0" customWidth="1"/>
    <x:col min="12" max="12" width="15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 ht="15" hidden="0" customHeight="1">
      <x:c r="A1" s="33" t="str">
        <x:v>BSF-OPS-001 — Cold Chain Control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 ht="15" hidden="0" customHeight="1">
      <x:c r="A2" s="42" t="str">
        <x:v>Use this register to record temperature monitoring, deviations, corrective actions, QA disposition, and traceability for temperature-sensitive seafood products and controlled cold-chain areas.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</x:row>
    <x:row r="4" ht="24" hidden="0" customHeight="1">
      <x:c r="A4" s="37" t="str">
        <x:v>Record ID</x:v>
      </x:c>
      <x:c r="B4" s="37" t="str">
        <x:v>Date</x:v>
      </x:c>
      <x:c r="C4" s="37" t="str">
        <x:v>Shift</x:v>
      </x:c>
      <x:c r="D4" s="37" t="str">
        <x:v>Area</x:v>
      </x:c>
      <x:c r="E4" s="37" t="str">
        <x:v>Product / Batch</x:v>
      </x:c>
      <x:c r="F4" s="37" t="str">
        <x:v>Storage Unit</x:v>
      </x:c>
      <x:c r="G4" s="37" t="str">
        <x:v>Required Min °C</x:v>
      </x:c>
      <x:c r="H4" s="37" t="str">
        <x:v>Required Max °C</x:v>
      </x:c>
      <x:c r="I4" s="37" t="str">
        <x:v>Actual Temp °C</x:v>
      </x:c>
      <x:c r="J4" s="37" t="str">
        <x:v>Within Range?</x:v>
      </x:c>
      <x:c r="K4" s="37" t="str">
        <x:v>Deviation Type</x:v>
      </x:c>
      <x:c r="L4" s="37" t="str">
        <x:v>Action Required?</x:v>
      </x:c>
      <x:c r="M4" s="37" t="str">
        <x:v>Corrective Action ID</x:v>
      </x:c>
      <x:c r="N4" s="37" t="str">
        <x:v>Responsible</x:v>
      </x:c>
      <x:c r="O4" s="37" t="str">
        <x:v>Verification Status</x:v>
      </x:c>
      <x:c r="P4" s="37" t="str">
        <x:v>QA Release Status</x:v>
      </x:c>
      <x:c r="Q4" s="37" t="str">
        <x:v>Comments</x:v>
      </x:c>
    </x:row>
    <x:row r="5" ht="15" hidden="0" customHeight="1">
      <x:c r="A5" s="36" t="str">
        <x:v>CCR-0001</x:v>
      </x:c>
      <x:c r="B5" s="43" t="n">
        <x:v>46223.541666666664</x:v>
      </x:c>
      <x:c r="C5" s="36" t="str">
        <x:v>Morning</x:v>
      </x:c>
      <x:c r="D5" s="36" t="str">
        <x:v>Receiving</x:v>
      </x:c>
      <x:c r="E5" s="36" t="str">
        <x:v>Mahi-mahi / B-260720-01</x:v>
      </x:c>
      <x:c r="F5" s="36" t="str">
        <x:v>Dock 1</x:v>
      </x:c>
      <x:c r="G5" s="39" t="n">
        <x:v>0</x:v>
      </x:c>
      <x:c r="H5" s="39" t="n">
        <x:v>4</x:v>
      </x:c>
      <x:c r="I5" s="39" t="n">
        <x:v>2.1</x:v>
      </x:c>
      <x:c r="J5" s="36" t="str">
        <x:f>IF(OR(I5="",G5="",H5=""),"",IF(AND(I5&gt;=G5,I5&lt;=H5),"Within Range","Out of Range"))</x:f>
      </x:c>
      <x:c r="K5" s="36" t="str">
        <x:f>IF(J5="","",IF(I5&lt;G5,"Below Min",IF(I5&gt;H5,"Above Max","None")))</x:f>
      </x:c>
      <x:c r="L5" s="36" t="str">
        <x:f>IF(J5="","",IF(J5="Out of Range","Yes","No"))</x:f>
      </x:c>
      <x:c r="M5" s="36" t="str"/>
      <x:c r="N5" s="36" t="str">
        <x:v>Receiving Supervisor</x:v>
      </x:c>
      <x:c r="O5" s="36" t="str">
        <x:v>Verified</x:v>
      </x:c>
      <x:c r="P5" s="36" t="str">
        <x:v>Released</x:v>
      </x:c>
      <x:c r="Q5" s="36" t="str">
        <x:v>Receiving temperature within range.</x:v>
      </x:c>
    </x:row>
    <x:row r="6" ht="15" hidden="0" customHeight="1">
      <x:c r="A6" s="36" t="str">
        <x:v>CCR-0002</x:v>
      </x:c>
      <x:c r="B6" s="43" t="n">
        <x:v>46223.5625</x:v>
      </x:c>
      <x:c r="C6" s="36" t="str">
        <x:v>Morning</x:v>
      </x:c>
      <x:c r="D6" s="36" t="str">
        <x:v>Freezer Room</x:v>
      </x:c>
      <x:c r="E6" s="36" t="str">
        <x:v>Squid / F-260720-02</x:v>
      </x:c>
      <x:c r="F6" s="36" t="str">
        <x:v>Freezer A</x:v>
      </x:c>
      <x:c r="G6" s="39" t="n">
        <x:v>-25</x:v>
      </x:c>
      <x:c r="H6" s="39" t="n">
        <x:v>-18</x:v>
      </x:c>
      <x:c r="I6" s="39" t="n">
        <x:v>-19.5</x:v>
      </x:c>
      <x:c r="J6" s="36" t="str">
        <x:f>IF(OR(I6="",G6="",H6=""),"",IF(AND(I6&gt;=G6,I6&lt;=H6),"Within Range","Out of Range"))</x:f>
        <x:v>Within Range</x:v>
      </x:c>
      <x:c r="K6" s="36" t="str">
        <x:f>IF(J6="","",IF(I6&lt;G6,"Below Min",IF(I6&gt;H6,"Above Max","None")))</x:f>
        <x:v>None</x:v>
      </x:c>
      <x:c r="L6" s="36" t="str">
        <x:f>IF(J6="","",IF(J6="Out of Range","Yes","No"))</x:f>
        <x:v>No</x:v>
      </x:c>
      <x:c r="M6" s="36" t="str"/>
      <x:c r="N6" s="36" t="str">
        <x:v>Warehouse Lead</x:v>
      </x:c>
      <x:c r="O6" s="36" t="str">
        <x:v>Verified</x:v>
      </x:c>
      <x:c r="P6" s="36" t="str">
        <x:v>Released</x:v>
      </x:c>
      <x:c r="Q6" s="36" t="str">
        <x:v>Routine monitoring.</x:v>
      </x:c>
    </x:row>
    <x:row r="7" ht="15" hidden="0" customHeight="1">
      <x:c r="A7" s="36" t="str">
        <x:v>CCR-0003</x:v>
      </x:c>
      <x:c r="B7" s="43" t="n">
        <x:v>46223.625</x:v>
      </x:c>
      <x:c r="C7" s="36" t="str">
        <x:v>Morning</x:v>
      </x:c>
      <x:c r="D7" s="36" t="str">
        <x:v>Cold Room</x:v>
      </x:c>
      <x:c r="E7" s="36" t="str">
        <x:v>Scallops / C-260720-03</x:v>
      </x:c>
      <x:c r="F7" s="36" t="str">
        <x:v>Cold Room 2</x:v>
      </x:c>
      <x:c r="G7" s="39" t="n">
        <x:v>0</x:v>
      </x:c>
      <x:c r="H7" s="39" t="n">
        <x:v>4</x:v>
      </x:c>
      <x:c r="I7" s="39" t="n">
        <x:v>5.2</x:v>
      </x:c>
      <x:c r="J7" s="36" t="str">
        <x:f>IF(OR(I7="",G7="",H7=""),"",IF(AND(I7&gt;=G7,I7&lt;=H7),"Within Range","Out of Range"))</x:f>
      </x:c>
      <x:c r="K7" s="36" t="str">
        <x:f>IF(J7="","",IF(I7&lt;G7,"Below Min",IF(I7&gt;H7,"Above Max","None")))</x:f>
      </x:c>
      <x:c r="L7" s="36" t="str">
        <x:f>IF(J7="","",IF(J7="Out of Range","Yes","No"))</x:f>
      </x:c>
      <x:c r="M7" s="36" t="str">
        <x:v>CA-0001</x:v>
      </x:c>
      <x:c r="N7" s="36" t="str">
        <x:v>Operations Supervisor</x:v>
      </x:c>
      <x:c r="O7" s="36" t="str">
        <x:v>Pending Verification</x:v>
      </x:c>
      <x:c r="P7" s="36" t="str">
        <x:v>On Hold</x:v>
      </x:c>
      <x:c r="Q7" s="36" t="str">
        <x:v>Door left open during picking. Product placed on QA hold.</x:v>
      </x:c>
    </x:row>
    <x:row r="8" ht="15" hidden="0" customHeight="1">
      <x:c r="A8" s="36" t="str">
        <x:v>CCR-0004</x:v>
      </x:c>
      <x:c r="B8" s="43" t="n">
        <x:v>46223.708333333336</x:v>
      </x:c>
      <x:c r="C8" s="36" t="str">
        <x:v>Midday</x:v>
      </x:c>
      <x:c r="D8" s="36" t="str">
        <x:v>Dispatch</x:v>
      </x:c>
      <x:c r="E8" s="36" t="str">
        <x:v>Frozen mix / F-260720-04</x:v>
      </x:c>
      <x:c r="F8" s="36" t="str">
        <x:v>Truck TR-014</x:v>
      </x:c>
      <x:c r="G8" s="39" t="n">
        <x:v>-25</x:v>
      </x:c>
      <x:c r="H8" s="39" t="n">
        <x:v>-18</x:v>
      </x:c>
      <x:c r="I8" s="39" t="n">
        <x:v>-20.2</x:v>
      </x:c>
      <x:c r="J8" s="36" t="str">
        <x:f>IF(OR(I8="",G8="",H8=""),"",IF(AND(I8&gt;=G8,I8&lt;=H8),"Within Range","Out of Range"))</x:f>
        <x:v>Within Range</x:v>
      </x:c>
      <x:c r="K8" s="36" t="str">
        <x:f>IF(J8="","",IF(I8&lt;G8,"Below Min",IF(I8&gt;H8,"Above Max","None")))</x:f>
        <x:v>None</x:v>
      </x:c>
      <x:c r="L8" s="36" t="str">
        <x:f>IF(J8="","",IF(J8="Out of Range","Yes","No"))</x:f>
        <x:v>No</x:v>
      </x:c>
      <x:c r="M8" s="36" t="str"/>
      <x:c r="N8" s="36" t="str">
        <x:v>Logistics Coordinator</x:v>
      </x:c>
      <x:c r="O8" s="36" t="str">
        <x:v>Verified</x:v>
      </x:c>
      <x:c r="P8" s="36" t="str">
        <x:v>Released</x:v>
      </x:c>
      <x:c r="Q8" s="36" t="str">
        <x:v>Vehicle pre-cooled before loading.</x:v>
      </x:c>
    </x:row>
    <x:row r="9" ht="15" hidden="0" customHeight="1">
      <x:c r="A9" s="36" t="str">
        <x:v>CCR-0005</x:v>
      </x:c>
      <x:c r="B9" s="43" t="n">
        <x:v>46223.791666666664</x:v>
      </x:c>
      <x:c r="C9" s="36" t="str">
        <x:v>Afternoon</x:v>
      </x:c>
      <x:c r="D9" s="36" t="str">
        <x:v>Processing</x:v>
      </x:c>
      <x:c r="E9" s="36" t="str">
        <x:v>Tuna loins / P-260720-05</x:v>
      </x:c>
      <x:c r="F9" s="36" t="str">
        <x:v>Line 2</x:v>
      </x:c>
      <x:c r="G9" s="39" t="n">
        <x:v>0</x:v>
      </x:c>
      <x:c r="H9" s="39" t="n">
        <x:v>10</x:v>
      </x:c>
      <x:c r="I9" s="39" t="n">
        <x:v>8</x:v>
      </x:c>
      <x:c r="J9" s="36" t="str">
        <x:f>IF(OR(I9="",G9="",H9=""),"",IF(AND(I9&gt;=G9,I9&lt;=H9),"Within Range","Out of Range"))</x:f>
      </x:c>
      <x:c r="K9" s="36" t="str">
        <x:f>IF(J9="","",IF(I9&lt;G9,"Below Min",IF(I9&gt;H9,"Above Max","None")))</x:f>
      </x:c>
      <x:c r="L9" s="36" t="str">
        <x:f>IF(J9="","",IF(J9="Out of Range","Yes","No"))</x:f>
      </x:c>
      <x:c r="M9" s="36" t="str"/>
      <x:c r="N9" s="36" t="str">
        <x:v>Production Supervisor</x:v>
      </x:c>
      <x:c r="O9" s="36" t="str">
        <x:v>Verified</x:v>
      </x:c>
      <x:c r="P9" s="36" t="str">
        <x:v>Released</x:v>
      </x:c>
      <x:c r="Q9" s="36" t="str">
        <x:v>Within process exposure limit.</x:v>
      </x:c>
    </x:row>
    <x:row r="10" ht="15" hidden="0" customHeight="1">
      <x:c r="A10" s="36" t="str">
        <x:v>CCR-0006</x:v>
      </x:c>
      <x:c r="B10" s="43" t="n">
        <x:v>46223.875</x:v>
      </x:c>
      <x:c r="C10" s="36" t="str">
        <x:v>Afternoon</x:v>
      </x:c>
      <x:c r="D10" s="36" t="str">
        <x:v>Cold Room</x:v>
      </x:c>
      <x:c r="E10" s="36" t="str">
        <x:v>Chilled fillets / C-260720-06</x:v>
      </x:c>
      <x:c r="F10" s="36" t="str">
        <x:v>Cold Room 1</x:v>
      </x:c>
      <x:c r="G10" s="39" t="n">
        <x:v>0</x:v>
      </x:c>
      <x:c r="H10" s="39" t="n">
        <x:v>4</x:v>
      </x:c>
      <x:c r="I10" s="39" t="n">
        <x:v>3.6</x:v>
      </x:c>
      <x:c r="J10" s="36" t="str">
        <x:f>IF(OR(I10="",G10="",H10=""),"",IF(AND(I10&gt;=G10,I10&lt;=H10),"Within Range","Out of Range"))</x:f>
      </x:c>
      <x:c r="K10" s="36" t="str">
        <x:f>IF(J10="","",IF(I10&lt;G10,"Below Min",IF(I10&gt;H10,"Above Max","None")))</x:f>
      </x:c>
      <x:c r="L10" s="36" t="str">
        <x:f>IF(J10="","",IF(J10="Out of Range","Yes","No"))</x:f>
      </x:c>
      <x:c r="M10" s="36" t="str"/>
      <x:c r="N10" s="36" t="str">
        <x:v>Warehouse Lead</x:v>
      </x:c>
      <x:c r="O10" s="36" t="str">
        <x:v>Verified</x:v>
      </x:c>
      <x:c r="P10" s="36" t="str">
        <x:v>Released</x:v>
      </x:c>
      <x:c r="Q10" s="36" t="str">
        <x:v>Routine monitoring.</x:v>
      </x:c>
    </x:row>
    <x:row r="11" ht="15" hidden="0" customHeight="1">
      <x:c r="A11" s="36" t="str">
        <x:v>CCR-0007</x:v>
      </x:c>
      <x:c r="B11" s="43" t="n">
        <x:v>46223.958333333336</x:v>
      </x:c>
      <x:c r="C11" s="36" t="str">
        <x:v>Evening</x:v>
      </x:c>
      <x:c r="D11" s="36" t="str">
        <x:v>Freezer Room</x:v>
      </x:c>
      <x:c r="E11" s="36" t="str">
        <x:v>Shrimp / F-260720-07</x:v>
      </x:c>
      <x:c r="F11" s="36" t="str">
        <x:v>Freezer B</x:v>
      </x:c>
      <x:c r="G11" s="39" t="n">
        <x:v>-25</x:v>
      </x:c>
      <x:c r="H11" s="39" t="n">
        <x:v>-18</x:v>
      </x:c>
      <x:c r="I11" s="39" t="n">
        <x:v>-17.2</x:v>
      </x:c>
      <x:c r="J11" s="36" t="str">
        <x:f>IF(OR(I11="",G11="",H11=""),"",IF(AND(I11&gt;=G11,I11&lt;=H11),"Within Range","Out of Range"))</x:f>
        <x:v>Out of Range</x:v>
      </x:c>
      <x:c r="K11" s="36" t="str">
        <x:f>IF(J11="","",IF(I11&lt;G11,"Below Min",IF(I11&gt;H11,"Above Max","None")))</x:f>
        <x:v>Above Max</x:v>
      </x:c>
      <x:c r="L11" s="36" t="str">
        <x:f>IF(J11="","",IF(J11="Out of Range","Yes","No"))</x:f>
        <x:v>Yes</x:v>
      </x:c>
      <x:c r="M11" s="36" t="str">
        <x:v>CA-0002</x:v>
      </x:c>
      <x:c r="N11" s="36" t="str">
        <x:v>Warehouse Lead</x:v>
      </x:c>
      <x:c r="O11" s="36" t="str">
        <x:v>Pending Verification</x:v>
      </x:c>
      <x:c r="P11" s="36" t="str">
        <x:v>On Hold</x:v>
      </x:c>
      <x:c r="Q11" s="36" t="str">
        <x:v>Temperature deviation escalated to Maintenance and QA.</x:v>
      </x:c>
    </x:row>
    <x:row r="12" ht="15" hidden="0" customHeight="1">
      <x:c r="A12" s="36" t="str">
        <x:v>CCR-0008</x:v>
      </x:c>
      <x:c r="B12" s="43" t="n">
        <x:v>46224.041666666664</x:v>
      </x:c>
      <x:c r="C12" s="36" t="str">
        <x:v>Night</x:v>
      </x:c>
      <x:c r="D12" s="36" t="str">
        <x:v>Dispatch</x:v>
      </x:c>
      <x:c r="E12" s="36" t="str">
        <x:v>Chilled scallops / D-260720-08</x:v>
      </x:c>
      <x:c r="F12" s="36" t="str">
        <x:v>Truck TR-022</x:v>
      </x:c>
      <x:c r="G12" s="39" t="n">
        <x:v>0</x:v>
      </x:c>
      <x:c r="H12" s="39" t="n">
        <x:v>4</x:v>
      </x:c>
      <x:c r="I12" s="39" t="n">
        <x:v>2.8</x:v>
      </x:c>
      <x:c r="J12" s="36" t="str">
        <x:f>IF(OR(I12="",G12="",H12=""),"",IF(AND(I12&gt;=G12,I12&lt;=H12),"Within Range","Out of Range"))</x:f>
      </x:c>
      <x:c r="K12" s="36" t="str">
        <x:f>IF(J12="","",IF(I12&lt;G12,"Below Min",IF(I12&gt;H12,"Above Max","None")))</x:f>
      </x:c>
      <x:c r="L12" s="36" t="str">
        <x:f>IF(J12="","",IF(J12="Out of Range","Yes","No"))</x:f>
      </x:c>
      <x:c r="M12" s="36" t="str"/>
      <x:c r="N12" s="36" t="str">
        <x:v>Logistics Coordinator</x:v>
      </x:c>
      <x:c r="O12" s="36" t="str">
        <x:v>Verified</x:v>
      </x:c>
      <x:c r="P12" s="36" t="str">
        <x:v>Released</x:v>
      </x:c>
      <x:c r="Q12" s="36" t="str">
        <x:v>Dispatch control completed.</x:v>
      </x:c>
    </x:row>
    <x:row r="13" ht="15" hidden="0" customHeight="1">
      <x:c r="A13" s="36"/>
      <x:c r="B13" s="43"/>
      <x:c r="C13" s="36"/>
      <x:c r="D13" s="36"/>
      <x:c r="E13" s="36"/>
      <x:c r="F13" s="36"/>
      <x:c r="G13" s="39"/>
      <x:c r="H13" s="39"/>
      <x:c r="I13" s="39"/>
      <x:c r="J13" s="36" t="str">
        <x:f>IF(OR(I13="",G13="",H13=""),"",IF(AND(I13&gt;=G13,I13&lt;=H13),"Within Range","Out of Range"))</x:f>
      </x:c>
      <x:c r="K13" s="36" t="str">
        <x:f>IF(J13="","",IF(I13&lt;G13,"Below Min",IF(I13&gt;H13,"Above Max","None")))</x:f>
      </x:c>
      <x:c r="L13" s="36" t="str">
        <x:f>IF(J13="","",IF(J13="Out of Range","Yes","No"))</x:f>
      </x:c>
      <x:c r="M13" s="36"/>
      <x:c r="N13" s="36"/>
      <x:c r="O13" s="36"/>
      <x:c r="P13" s="36"/>
      <x:c r="Q13" s="36"/>
    </x:row>
    <x:row r="14" ht="15" hidden="0" customHeight="1">
      <x:c r="A14" s="36"/>
      <x:c r="B14" s="43"/>
      <x:c r="C14" s="36"/>
      <x:c r="D14" s="36"/>
      <x:c r="E14" s="36"/>
      <x:c r="F14" s="36"/>
      <x:c r="G14" s="39"/>
      <x:c r="H14" s="39"/>
      <x:c r="I14" s="39"/>
      <x:c r="J14" s="36" t="str">
        <x:f>IF(OR(I14="",G14="",H14=""),"",IF(AND(I14&gt;=G14,I14&lt;=H14),"Within Range","Out of Range"))</x:f>
      </x:c>
      <x:c r="K14" s="36" t="str">
        <x:f>IF(J14="","",IF(I14&lt;G14,"Below Min",IF(I14&gt;H14,"Above Max","None")))</x:f>
      </x:c>
      <x:c r="L14" s="36" t="str">
        <x:f>IF(J14="","",IF(J14="Out of Range","Yes","No"))</x:f>
      </x:c>
      <x:c r="M14" s="36"/>
      <x:c r="N14" s="36"/>
      <x:c r="O14" s="36"/>
      <x:c r="P14" s="36"/>
      <x:c r="Q14" s="36"/>
    </x:row>
    <x:row r="15" ht="15" hidden="0" customHeight="1">
      <x:c r="A15" s="36"/>
      <x:c r="B15" s="43"/>
      <x:c r="C15" s="36"/>
      <x:c r="D15" s="36"/>
      <x:c r="E15" s="36"/>
      <x:c r="F15" s="36"/>
      <x:c r="G15" s="39"/>
      <x:c r="H15" s="39"/>
      <x:c r="I15" s="39"/>
      <x:c r="J15" s="36" t="str">
        <x:f>IF(OR(I15="",G15="",H15=""),"",IF(AND(I15&gt;=G15,I15&lt;=H15),"Within Range","Out of Range"))</x:f>
      </x:c>
      <x:c r="K15" s="36" t="str">
        <x:f>IF(J15="","",IF(I15&lt;G15,"Below Min",IF(I15&gt;H15,"Above Max","None")))</x:f>
      </x:c>
      <x:c r="L15" s="36" t="str">
        <x:f>IF(J15="","",IF(J15="Out of Range","Yes","No"))</x:f>
      </x:c>
      <x:c r="M15" s="36"/>
      <x:c r="N15" s="36"/>
      <x:c r="O15" s="36"/>
      <x:c r="P15" s="36"/>
      <x:c r="Q15" s="36"/>
    </x:row>
    <x:row r="16" ht="15" hidden="0" customHeight="1">
      <x:c r="A16" s="36"/>
      <x:c r="B16" s="43"/>
      <x:c r="C16" s="36"/>
      <x:c r="D16" s="36"/>
      <x:c r="E16" s="36"/>
      <x:c r="F16" s="36"/>
      <x:c r="G16" s="39"/>
      <x:c r="H16" s="39"/>
      <x:c r="I16" s="39"/>
      <x:c r="J16" s="36" t="str">
        <x:f>IF(OR(I16="",G16="",H16=""),"",IF(AND(I16&gt;=G16,I16&lt;=H16),"Within Range","Out of Range"))</x:f>
      </x:c>
      <x:c r="K16" s="36" t="str">
        <x:f>IF(J16="","",IF(I16&lt;G16,"Below Min",IF(I16&gt;H16,"Above Max","None")))</x:f>
      </x:c>
      <x:c r="L16" s="36" t="str">
        <x:f>IF(J16="","",IF(J16="Out of Range","Yes","No"))</x:f>
      </x:c>
      <x:c r="M16" s="36"/>
      <x:c r="N16" s="36"/>
      <x:c r="O16" s="36"/>
      <x:c r="P16" s="36"/>
      <x:c r="Q16" s="36"/>
    </x:row>
    <x:row r="17" ht="15" hidden="0" customHeight="1">
      <x:c r="A17" s="36"/>
      <x:c r="B17" s="43"/>
      <x:c r="C17" s="36"/>
      <x:c r="D17" s="36"/>
      <x:c r="E17" s="36"/>
      <x:c r="F17" s="36"/>
      <x:c r="G17" s="39"/>
      <x:c r="H17" s="39"/>
      <x:c r="I17" s="39"/>
      <x:c r="J17" s="36" t="str">
        <x:f>IF(OR(I17="",G17="",H17=""),"",IF(AND(I17&gt;=G17,I17&lt;=H17),"Within Range","Out of Range"))</x:f>
      </x:c>
      <x:c r="K17" s="36" t="str">
        <x:f>IF(J17="","",IF(I17&lt;G17,"Below Min",IF(I17&gt;H17,"Above Max","None")))</x:f>
      </x:c>
      <x:c r="L17" s="36" t="str">
        <x:f>IF(J17="","",IF(J17="Out of Range","Yes","No"))</x:f>
      </x:c>
      <x:c r="M17" s="36"/>
      <x:c r="N17" s="36"/>
      <x:c r="O17" s="36"/>
      <x:c r="P17" s="36"/>
      <x:c r="Q17" s="36"/>
    </x:row>
    <x:row r="18" ht="15" hidden="0" customHeight="1">
      <x:c r="A18" s="36"/>
      <x:c r="B18" s="43"/>
      <x:c r="C18" s="36"/>
      <x:c r="D18" s="36"/>
      <x:c r="E18" s="36"/>
      <x:c r="F18" s="36"/>
      <x:c r="G18" s="39"/>
      <x:c r="H18" s="39"/>
      <x:c r="I18" s="39"/>
      <x:c r="J18" s="36" t="str">
        <x:f>IF(OR(I18="",G18="",H18=""),"",IF(AND(I18&gt;=G18,I18&lt;=H18),"Within Range","Out of Range"))</x:f>
      </x:c>
      <x:c r="K18" s="36" t="str">
        <x:f>IF(J18="","",IF(I18&lt;G18,"Below Min",IF(I18&gt;H18,"Above Max","None")))</x:f>
      </x:c>
      <x:c r="L18" s="36" t="str">
        <x:f>IF(J18="","",IF(J18="Out of Range","Yes","No"))</x:f>
      </x:c>
      <x:c r="M18" s="36"/>
      <x:c r="N18" s="36"/>
      <x:c r="O18" s="36"/>
      <x:c r="P18" s="36"/>
      <x:c r="Q18" s="36"/>
    </x:row>
    <x:row r="19" ht="15" hidden="0" customHeight="1">
      <x:c r="A19" s="36"/>
      <x:c r="B19" s="43"/>
      <x:c r="C19" s="36"/>
      <x:c r="D19" s="36"/>
      <x:c r="E19" s="36"/>
      <x:c r="F19" s="36"/>
      <x:c r="G19" s="39"/>
      <x:c r="H19" s="39"/>
      <x:c r="I19" s="39"/>
      <x:c r="J19" s="36" t="str">
        <x:f>IF(OR(I19="",G19="",H19=""),"",IF(AND(I19&gt;=G19,I19&lt;=H19),"Within Range","Out of Range"))</x:f>
      </x:c>
      <x:c r="K19" s="36" t="str">
        <x:f>IF(J19="","",IF(I19&lt;G19,"Below Min",IF(I19&gt;H19,"Above Max","None")))</x:f>
      </x:c>
      <x:c r="L19" s="36" t="str">
        <x:f>IF(J19="","",IF(J19="Out of Range","Yes","No"))</x:f>
      </x:c>
      <x:c r="M19" s="36"/>
      <x:c r="N19" s="36"/>
      <x:c r="O19" s="36"/>
      <x:c r="P19" s="36"/>
      <x:c r="Q19" s="36"/>
    </x:row>
    <x:row r="20" ht="15" hidden="0" customHeight="1">
      <x:c r="A20" s="36"/>
      <x:c r="B20" s="43"/>
      <x:c r="C20" s="36"/>
      <x:c r="D20" s="36"/>
      <x:c r="E20" s="36"/>
      <x:c r="F20" s="36"/>
      <x:c r="G20" s="39"/>
      <x:c r="H20" s="39"/>
      <x:c r="I20" s="39"/>
      <x:c r="J20" s="36" t="str">
        <x:f>IF(OR(I20="",G20="",H20=""),"",IF(AND(I20&gt;=G20,I20&lt;=H20),"Within Range","Out of Range"))</x:f>
      </x:c>
      <x:c r="K20" s="36" t="str">
        <x:f>IF(J20="","",IF(I20&lt;G20,"Below Min",IF(I20&gt;H20,"Above Max","None")))</x:f>
      </x:c>
      <x:c r="L20" s="36" t="str">
        <x:f>IF(J20="","",IF(J20="Out of Range","Yes","No"))</x:f>
      </x:c>
      <x:c r="M20" s="36"/>
      <x:c r="N20" s="36"/>
      <x:c r="O20" s="36"/>
      <x:c r="P20" s="36"/>
      <x:c r="Q20" s="36"/>
    </x:row>
    <x:row r="21" ht="15" hidden="0" customHeight="1">
      <x:c r="A21" s="36"/>
      <x:c r="B21" s="43"/>
      <x:c r="C21" s="36"/>
      <x:c r="D21" s="36"/>
      <x:c r="E21" s="36"/>
      <x:c r="F21" s="36"/>
      <x:c r="G21" s="39"/>
      <x:c r="H21" s="39"/>
      <x:c r="I21" s="39"/>
      <x:c r="J21" s="36" t="str">
        <x:f>IF(OR(I21="",G21="",H21=""),"",IF(AND(I21&gt;=G21,I21&lt;=H21),"Within Range","Out of Range"))</x:f>
      </x:c>
      <x:c r="K21" s="36" t="str">
        <x:f>IF(J21="","",IF(I21&lt;G21,"Below Min",IF(I21&gt;H21,"Above Max","None")))</x:f>
      </x:c>
      <x:c r="L21" s="36" t="str">
        <x:f>IF(J21="","",IF(J21="Out of Range","Yes","No"))</x:f>
      </x:c>
      <x:c r="M21" s="36"/>
      <x:c r="N21" s="36"/>
      <x:c r="O21" s="36"/>
      <x:c r="P21" s="36"/>
      <x:c r="Q21" s="36"/>
    </x:row>
    <x:row r="22" ht="15" hidden="0" customHeight="1">
      <x:c r="A22" s="36"/>
      <x:c r="B22" s="43"/>
      <x:c r="C22" s="36"/>
      <x:c r="D22" s="36"/>
      <x:c r="E22" s="36"/>
      <x:c r="F22" s="36"/>
      <x:c r="G22" s="39"/>
      <x:c r="H22" s="39"/>
      <x:c r="I22" s="39"/>
      <x:c r="J22" s="36" t="str">
        <x:f>IF(OR(I22="",G22="",H22=""),"",IF(AND(I22&gt;=G22,I22&lt;=H22),"Within Range","Out of Range"))</x:f>
      </x:c>
      <x:c r="K22" s="36" t="str">
        <x:f>IF(J22="","",IF(I22&lt;G22,"Below Min",IF(I22&gt;H22,"Above Max","None")))</x:f>
      </x:c>
      <x:c r="L22" s="36" t="str">
        <x:f>IF(J22="","",IF(J22="Out of Range","Yes","No"))</x:f>
      </x:c>
      <x:c r="M22" s="36"/>
      <x:c r="N22" s="36"/>
      <x:c r="O22" s="36"/>
      <x:c r="P22" s="36"/>
      <x:c r="Q22" s="36"/>
    </x:row>
    <x:row r="23" ht="15" hidden="0" customHeight="1">
      <x:c r="A23" s="36"/>
      <x:c r="B23" s="43"/>
      <x:c r="C23" s="36"/>
      <x:c r="D23" s="36"/>
      <x:c r="E23" s="36"/>
      <x:c r="F23" s="36"/>
      <x:c r="G23" s="39"/>
      <x:c r="H23" s="39"/>
      <x:c r="I23" s="39"/>
      <x:c r="J23" s="36" t="str">
        <x:f>IF(OR(I23="",G23="",H23=""),"",IF(AND(I23&gt;=G23,I23&lt;=H23),"Within Range","Out of Range"))</x:f>
      </x:c>
      <x:c r="K23" s="36" t="str">
        <x:f>IF(J23="","",IF(I23&lt;G23,"Below Min",IF(I23&gt;H23,"Above Max","None")))</x:f>
      </x:c>
      <x:c r="L23" s="36" t="str">
        <x:f>IF(J23="","",IF(J23="Out of Range","Yes","No"))</x:f>
      </x:c>
      <x:c r="M23" s="36"/>
      <x:c r="N23" s="36"/>
      <x:c r="O23" s="36"/>
      <x:c r="P23" s="36"/>
      <x:c r="Q23" s="36"/>
    </x:row>
    <x:row r="24" ht="15" hidden="0" customHeight="1">
      <x:c r="A24" s="36"/>
      <x:c r="B24" s="43"/>
      <x:c r="C24" s="36"/>
      <x:c r="D24" s="36"/>
      <x:c r="E24" s="36"/>
      <x:c r="F24" s="36"/>
      <x:c r="G24" s="39"/>
      <x:c r="H24" s="39"/>
      <x:c r="I24" s="39"/>
      <x:c r="J24" s="36" t="str">
        <x:f>IF(OR(I24="",G24="",H24=""),"",IF(AND(I24&gt;=G24,I24&lt;=H24),"Within Range","Out of Range"))</x:f>
      </x:c>
      <x:c r="K24" s="36" t="str">
        <x:f>IF(J24="","",IF(I24&lt;G24,"Below Min",IF(I24&gt;H24,"Above Max","None")))</x:f>
      </x:c>
      <x:c r="L24" s="36" t="str">
        <x:f>IF(J24="","",IF(J24="Out of Range","Yes","No"))</x:f>
      </x:c>
      <x:c r="M24" s="36"/>
      <x:c r="N24" s="36"/>
      <x:c r="O24" s="36"/>
      <x:c r="P24" s="36"/>
      <x:c r="Q24" s="36"/>
    </x:row>
    <x:row r="25" ht="15" hidden="0" customHeight="1">
      <x:c r="A25" s="36"/>
      <x:c r="B25" s="43"/>
      <x:c r="C25" s="36"/>
      <x:c r="D25" s="36"/>
      <x:c r="E25" s="36"/>
      <x:c r="F25" s="36"/>
      <x:c r="G25" s="39"/>
      <x:c r="H25" s="39"/>
      <x:c r="I25" s="39"/>
      <x:c r="J25" s="36" t="str">
        <x:f>IF(OR(I25="",G25="",H25=""),"",IF(AND(I25&gt;=G25,I25&lt;=H25),"Within Range","Out of Range"))</x:f>
      </x:c>
      <x:c r="K25" s="36" t="str">
        <x:f>IF(J25="","",IF(I25&lt;G25,"Below Min",IF(I25&gt;H25,"Above Max","None")))</x:f>
      </x:c>
      <x:c r="L25" s="36" t="str">
        <x:f>IF(J25="","",IF(J25="Out of Range","Yes","No"))</x:f>
      </x:c>
      <x:c r="M25" s="36"/>
      <x:c r="N25" s="36"/>
      <x:c r="O25" s="36"/>
      <x:c r="P25" s="36"/>
      <x:c r="Q25" s="36"/>
    </x:row>
    <x:row r="26" ht="15" hidden="0" customHeight="1">
      <x:c r="A26" s="36"/>
      <x:c r="B26" s="43"/>
      <x:c r="C26" s="36"/>
      <x:c r="D26" s="36"/>
      <x:c r="E26" s="36"/>
      <x:c r="F26" s="36"/>
      <x:c r="G26" s="39"/>
      <x:c r="H26" s="39"/>
      <x:c r="I26" s="39"/>
      <x:c r="J26" s="36" t="str">
        <x:f>IF(OR(I26="",G26="",H26=""),"",IF(AND(I26&gt;=G26,I26&lt;=H26),"Within Range","Out of Range"))</x:f>
      </x:c>
      <x:c r="K26" s="36" t="str">
        <x:f>IF(J26="","",IF(I26&lt;G26,"Below Min",IF(I26&gt;H26,"Above Max","None")))</x:f>
      </x:c>
      <x:c r="L26" s="36" t="str">
        <x:f>IF(J26="","",IF(J26="Out of Range","Yes","No"))</x:f>
      </x:c>
      <x:c r="M26" s="36"/>
      <x:c r="N26" s="36"/>
      <x:c r="O26" s="36"/>
      <x:c r="P26" s="36"/>
      <x:c r="Q26" s="36"/>
    </x:row>
    <x:row r="27" ht="15" hidden="0" customHeight="1">
      <x:c r="A27" s="36"/>
      <x:c r="B27" s="43"/>
      <x:c r="C27" s="36"/>
      <x:c r="D27" s="36"/>
      <x:c r="E27" s="36"/>
      <x:c r="F27" s="36"/>
      <x:c r="G27" s="39"/>
      <x:c r="H27" s="39"/>
      <x:c r="I27" s="39"/>
      <x:c r="J27" s="36" t="str">
        <x:f>IF(OR(I27="",G27="",H27=""),"",IF(AND(I27&gt;=G27,I27&lt;=H27),"Within Range","Out of Range"))</x:f>
      </x:c>
      <x:c r="K27" s="36" t="str">
        <x:f>IF(J27="","",IF(I27&lt;G27,"Below Min",IF(I27&gt;H27,"Above Max","None")))</x:f>
      </x:c>
      <x:c r="L27" s="36" t="str">
        <x:f>IF(J27="","",IF(J27="Out of Range","Yes","No"))</x:f>
      </x:c>
      <x:c r="M27" s="36"/>
      <x:c r="N27" s="36"/>
      <x:c r="O27" s="36"/>
      <x:c r="P27" s="36"/>
      <x:c r="Q27" s="36"/>
    </x:row>
    <x:row r="28" ht="15" hidden="0" customHeight="1">
      <x:c r="A28" s="36"/>
      <x:c r="B28" s="43"/>
      <x:c r="C28" s="36"/>
      <x:c r="D28" s="36"/>
      <x:c r="E28" s="36"/>
      <x:c r="F28" s="36"/>
      <x:c r="G28" s="39"/>
      <x:c r="H28" s="39"/>
      <x:c r="I28" s="39"/>
      <x:c r="J28" s="36" t="str">
        <x:f>IF(OR(I28="",G28="",H28=""),"",IF(AND(I28&gt;=G28,I28&lt;=H28),"Within Range","Out of Range"))</x:f>
      </x:c>
      <x:c r="K28" s="36" t="str">
        <x:f>IF(J28="","",IF(I28&lt;G28,"Below Min",IF(I28&gt;H28,"Above Max","None")))</x:f>
      </x:c>
      <x:c r="L28" s="36" t="str">
        <x:f>IF(J28="","",IF(J28="Out of Range","Yes","No"))</x:f>
      </x:c>
      <x:c r="M28" s="36"/>
      <x:c r="N28" s="36"/>
      <x:c r="O28" s="36"/>
      <x:c r="P28" s="36"/>
      <x:c r="Q28" s="36"/>
    </x:row>
    <x:row r="29" ht="15" hidden="0" customHeight="1">
      <x:c r="A29" s="36"/>
      <x:c r="B29" s="43"/>
      <x:c r="C29" s="36"/>
      <x:c r="D29" s="36"/>
      <x:c r="E29" s="36"/>
      <x:c r="F29" s="36"/>
      <x:c r="G29" s="39"/>
      <x:c r="H29" s="39"/>
      <x:c r="I29" s="39"/>
      <x:c r="J29" s="36" t="str">
        <x:f>IF(OR(I29="",G29="",H29=""),"",IF(AND(I29&gt;=G29,I29&lt;=H29),"Within Range","Out of Range"))</x:f>
      </x:c>
      <x:c r="K29" s="36" t="str">
        <x:f>IF(J29="","",IF(I29&lt;G29,"Below Min",IF(I29&gt;H29,"Above Max","None")))</x:f>
      </x:c>
      <x:c r="L29" s="36" t="str">
        <x:f>IF(J29="","",IF(J29="Out of Range","Yes","No"))</x:f>
      </x:c>
      <x:c r="M29" s="36"/>
      <x:c r="N29" s="36"/>
      <x:c r="O29" s="36"/>
      <x:c r="P29" s="36"/>
      <x:c r="Q29" s="36"/>
    </x:row>
    <x:row r="30" ht="15" hidden="0" customHeight="1">
      <x:c r="A30" s="36"/>
      <x:c r="B30" s="43"/>
      <x:c r="C30" s="36"/>
      <x:c r="D30" s="36"/>
      <x:c r="E30" s="36"/>
      <x:c r="F30" s="36"/>
      <x:c r="G30" s="39"/>
      <x:c r="H30" s="39"/>
      <x:c r="I30" s="39"/>
      <x:c r="J30" s="36" t="str">
        <x:f>IF(OR(I30="",G30="",H30=""),"",IF(AND(I30&gt;=G30,I30&lt;=H30),"Within Range","Out of Range"))</x:f>
      </x:c>
      <x:c r="K30" s="36" t="str">
        <x:f>IF(J30="","",IF(I30&lt;G30,"Below Min",IF(I30&gt;H30,"Above Max","None")))</x:f>
      </x:c>
      <x:c r="L30" s="36" t="str">
        <x:f>IF(J30="","",IF(J30="Out of Range","Yes","No"))</x:f>
      </x:c>
      <x:c r="M30" s="36"/>
      <x:c r="N30" s="36"/>
      <x:c r="O30" s="36"/>
      <x:c r="P30" s="36"/>
      <x:c r="Q30" s="36"/>
    </x:row>
    <x:row r="31" ht="15" hidden="0" customHeight="1">
      <x:c r="A31" s="36"/>
      <x:c r="B31" s="43"/>
      <x:c r="C31" s="36"/>
      <x:c r="D31" s="36"/>
      <x:c r="E31" s="36"/>
      <x:c r="F31" s="36"/>
      <x:c r="G31" s="39"/>
      <x:c r="H31" s="39"/>
      <x:c r="I31" s="39"/>
      <x:c r="J31" s="36" t="str">
        <x:f>IF(OR(I31="",G31="",H31=""),"",IF(AND(I31&gt;=G31,I31&lt;=H31),"Within Range","Out of Range"))</x:f>
      </x:c>
      <x:c r="K31" s="36" t="str">
        <x:f>IF(J31="","",IF(I31&lt;G31,"Below Min",IF(I31&gt;H31,"Above Max","None")))</x:f>
      </x:c>
      <x:c r="L31" s="36" t="str">
        <x:f>IF(J31="","",IF(J31="Out of Range","Yes","No"))</x:f>
      </x:c>
      <x:c r="M31" s="36"/>
      <x:c r="N31" s="36"/>
      <x:c r="O31" s="36"/>
      <x:c r="P31" s="36"/>
      <x:c r="Q31" s="36"/>
    </x:row>
    <x:row r="32" ht="15" hidden="0" customHeight="1">
      <x:c r="A32" s="36"/>
      <x:c r="B32" s="43"/>
      <x:c r="C32" s="36"/>
      <x:c r="D32" s="36"/>
      <x:c r="E32" s="36"/>
      <x:c r="F32" s="36"/>
      <x:c r="G32" s="39"/>
      <x:c r="H32" s="39"/>
      <x:c r="I32" s="39"/>
      <x:c r="J32" s="36" t="str">
        <x:f>IF(OR(I32="",G32="",H32=""),"",IF(AND(I32&gt;=G32,I32&lt;=H32),"Within Range","Out of Range"))</x:f>
      </x:c>
      <x:c r="K32" s="36" t="str">
        <x:f>IF(J32="","",IF(I32&lt;G32,"Below Min",IF(I32&gt;H32,"Above Max","None")))</x:f>
      </x:c>
      <x:c r="L32" s="36" t="str">
        <x:f>IF(J32="","",IF(J32="Out of Range","Yes","No"))</x:f>
      </x:c>
      <x:c r="M32" s="36"/>
      <x:c r="N32" s="36"/>
      <x:c r="O32" s="36"/>
      <x:c r="P32" s="36"/>
      <x:c r="Q32" s="36"/>
    </x:row>
    <x:row r="33" ht="15" hidden="0" customHeight="1">
      <x:c r="A33" s="36"/>
      <x:c r="B33" s="43"/>
      <x:c r="C33" s="36"/>
      <x:c r="D33" s="36"/>
      <x:c r="E33" s="36"/>
      <x:c r="F33" s="36"/>
      <x:c r="G33" s="39"/>
      <x:c r="H33" s="39"/>
      <x:c r="I33" s="39"/>
      <x:c r="J33" s="36" t="str">
        <x:f>IF(OR(I33="",G33="",H33=""),"",IF(AND(I33&gt;=G33,I33&lt;=H33),"Within Range","Out of Range"))</x:f>
      </x:c>
      <x:c r="K33" s="36" t="str">
        <x:f>IF(J33="","",IF(I33&lt;G33,"Below Min",IF(I33&gt;H33,"Above Max","None")))</x:f>
      </x:c>
      <x:c r="L33" s="36" t="str">
        <x:f>IF(J33="","",IF(J33="Out of Range","Yes","No"))</x:f>
      </x:c>
      <x:c r="M33" s="36"/>
      <x:c r="N33" s="36"/>
      <x:c r="O33" s="36"/>
      <x:c r="P33" s="36"/>
      <x:c r="Q33" s="36"/>
    </x:row>
    <x:row r="34" ht="15" hidden="0" customHeight="1">
      <x:c r="A34" s="36"/>
      <x:c r="B34" s="43"/>
      <x:c r="C34" s="36"/>
      <x:c r="D34" s="36"/>
      <x:c r="E34" s="36"/>
      <x:c r="F34" s="36"/>
      <x:c r="G34" s="39"/>
      <x:c r="H34" s="39"/>
      <x:c r="I34" s="39"/>
      <x:c r="J34" s="36" t="str">
        <x:f>IF(OR(I34="",G34="",H34=""),"",IF(AND(I34&gt;=G34,I34&lt;=H34),"Within Range","Out of Range"))</x:f>
      </x:c>
      <x:c r="K34" s="36" t="str">
        <x:f>IF(J34="","",IF(I34&lt;G34,"Below Min",IF(I34&gt;H34,"Above Max","None")))</x:f>
      </x:c>
      <x:c r="L34" s="36" t="str">
        <x:f>IF(J34="","",IF(J34="Out of Range","Yes","No"))</x:f>
      </x:c>
      <x:c r="M34" s="36"/>
      <x:c r="N34" s="36"/>
      <x:c r="O34" s="36"/>
      <x:c r="P34" s="36"/>
      <x:c r="Q34" s="36"/>
    </x:row>
    <x:row r="35" ht="15" hidden="0" customHeight="1">
      <x:c r="A35" s="36"/>
      <x:c r="B35" s="43"/>
      <x:c r="C35" s="36"/>
      <x:c r="D35" s="36"/>
      <x:c r="E35" s="36"/>
      <x:c r="F35" s="36"/>
      <x:c r="G35" s="39"/>
      <x:c r="H35" s="39"/>
      <x:c r="I35" s="39"/>
      <x:c r="J35" s="36" t="str">
        <x:f>IF(OR(I35="",G35="",H35=""),"",IF(AND(I35&gt;=G35,I35&lt;=H35),"Within Range","Out of Range"))</x:f>
      </x:c>
      <x:c r="K35" s="36" t="str">
        <x:f>IF(J35="","",IF(I35&lt;G35,"Below Min",IF(I35&gt;H35,"Above Max","None")))</x:f>
      </x:c>
      <x:c r="L35" s="36" t="str">
        <x:f>IF(J35="","",IF(J35="Out of Range","Yes","No"))</x:f>
      </x:c>
      <x:c r="M35" s="36"/>
      <x:c r="N35" s="36"/>
      <x:c r="O35" s="36"/>
      <x:c r="P35" s="36"/>
      <x:c r="Q35" s="36"/>
    </x:row>
    <x:row r="36" ht="15" hidden="0" customHeight="1">
      <x:c r="A36" s="36"/>
      <x:c r="B36" s="43"/>
      <x:c r="C36" s="36"/>
      <x:c r="D36" s="36"/>
      <x:c r="E36" s="36"/>
      <x:c r="F36" s="36"/>
      <x:c r="G36" s="39"/>
      <x:c r="H36" s="39"/>
      <x:c r="I36" s="39"/>
      <x:c r="J36" s="36" t="str">
        <x:f>IF(OR(I36="",G36="",H36=""),"",IF(AND(I36&gt;=G36,I36&lt;=H36),"Within Range","Out of Range"))</x:f>
      </x:c>
      <x:c r="K36" s="36" t="str">
        <x:f>IF(J36="","",IF(I36&lt;G36,"Below Min",IF(I36&gt;H36,"Above Max","None")))</x:f>
      </x:c>
      <x:c r="L36" s="36" t="str">
        <x:f>IF(J36="","",IF(J36="Out of Range","Yes","No"))</x:f>
      </x:c>
      <x:c r="M36" s="36"/>
      <x:c r="N36" s="36"/>
      <x:c r="O36" s="36"/>
      <x:c r="P36" s="36"/>
      <x:c r="Q36" s="36"/>
    </x:row>
    <x:row r="37" ht="15" hidden="0" customHeight="1">
      <x:c r="A37" s="36"/>
      <x:c r="B37" s="43"/>
      <x:c r="C37" s="36"/>
      <x:c r="D37" s="36"/>
      <x:c r="E37" s="36"/>
      <x:c r="F37" s="36"/>
      <x:c r="G37" s="39"/>
      <x:c r="H37" s="39"/>
      <x:c r="I37" s="39"/>
      <x:c r="J37" s="36" t="str">
        <x:f>IF(OR(I37="",G37="",H37=""),"",IF(AND(I37&gt;=G37,I37&lt;=H37),"Within Range","Out of Range"))</x:f>
      </x:c>
      <x:c r="K37" s="36" t="str">
        <x:f>IF(J37="","",IF(I37&lt;G37,"Below Min",IF(I37&gt;H37,"Above Max","None")))</x:f>
      </x:c>
      <x:c r="L37" s="36" t="str">
        <x:f>IF(J37="","",IF(J37="Out of Range","Yes","No"))</x:f>
      </x:c>
      <x:c r="M37" s="36"/>
      <x:c r="N37" s="36"/>
      <x:c r="O37" s="36"/>
      <x:c r="P37" s="36"/>
      <x:c r="Q37" s="36"/>
    </x:row>
    <x:row r="38" ht="15" hidden="0" customHeight="1">
      <x:c r="A38" s="36"/>
      <x:c r="B38" s="43"/>
      <x:c r="C38" s="36"/>
      <x:c r="D38" s="36"/>
      <x:c r="E38" s="36"/>
      <x:c r="F38" s="36"/>
      <x:c r="G38" s="39"/>
      <x:c r="H38" s="39"/>
      <x:c r="I38" s="39"/>
      <x:c r="J38" s="36" t="str">
        <x:f>IF(OR(I38="",G38="",H38=""),"",IF(AND(I38&gt;=G38,I38&lt;=H38),"Within Range","Out of Range"))</x:f>
      </x:c>
      <x:c r="K38" s="36" t="str">
        <x:f>IF(J38="","",IF(I38&lt;G38,"Below Min",IF(I38&gt;H38,"Above Max","None")))</x:f>
      </x:c>
      <x:c r="L38" s="36" t="str">
        <x:f>IF(J38="","",IF(J38="Out of Range","Yes","No"))</x:f>
      </x:c>
      <x:c r="M38" s="36"/>
      <x:c r="N38" s="36"/>
      <x:c r="O38" s="36"/>
      <x:c r="P38" s="36"/>
      <x:c r="Q38" s="36"/>
    </x:row>
    <x:row r="39" ht="15" hidden="0" customHeight="1">
      <x:c r="A39" s="36"/>
      <x:c r="B39" s="43"/>
      <x:c r="C39" s="36"/>
      <x:c r="D39" s="36"/>
      <x:c r="E39" s="36"/>
      <x:c r="F39" s="36"/>
      <x:c r="G39" s="39"/>
      <x:c r="H39" s="39"/>
      <x:c r="I39" s="39"/>
      <x:c r="J39" s="36" t="str">
        <x:f>IF(OR(I39="",G39="",H39=""),"",IF(AND(I39&gt;=G39,I39&lt;=H39),"Within Range","Out of Range"))</x:f>
      </x:c>
      <x:c r="K39" s="36" t="str">
        <x:f>IF(J39="","",IF(I39&lt;G39,"Below Min",IF(I39&gt;H39,"Above Max","None")))</x:f>
      </x:c>
      <x:c r="L39" s="36" t="str">
        <x:f>IF(J39="","",IF(J39="Out of Range","Yes","No"))</x:f>
      </x:c>
      <x:c r="M39" s="36"/>
      <x:c r="N39" s="36"/>
      <x:c r="O39" s="36"/>
      <x:c r="P39" s="36"/>
      <x:c r="Q39" s="36"/>
    </x:row>
    <x:row r="40" ht="15" hidden="0" customHeight="1">
      <x:c r="A40" s="36"/>
      <x:c r="B40" s="43"/>
      <x:c r="C40" s="36"/>
      <x:c r="D40" s="36"/>
      <x:c r="E40" s="36"/>
      <x:c r="F40" s="36"/>
      <x:c r="G40" s="39"/>
      <x:c r="H40" s="39"/>
      <x:c r="I40" s="39"/>
      <x:c r="J40" s="36" t="str">
        <x:f>IF(OR(I40="",G40="",H40=""),"",IF(AND(I40&gt;=G40,I40&lt;=H40),"Within Range","Out of Range"))</x:f>
      </x:c>
      <x:c r="K40" s="36" t="str">
        <x:f>IF(J40="","",IF(I40&lt;G40,"Below Min",IF(I40&gt;H40,"Above Max","None")))</x:f>
      </x:c>
      <x:c r="L40" s="36" t="str">
        <x:f>IF(J40="","",IF(J40="Out of Range","Yes","No"))</x:f>
      </x:c>
      <x:c r="M40" s="36"/>
      <x:c r="N40" s="36"/>
      <x:c r="O40" s="36"/>
      <x:c r="P40" s="36"/>
      <x:c r="Q40" s="36"/>
    </x:row>
    <x:row r="41" ht="15" hidden="0" customHeight="1">
      <x:c r="A41" s="36"/>
      <x:c r="B41" s="43"/>
      <x:c r="C41" s="36"/>
      <x:c r="D41" s="36"/>
      <x:c r="E41" s="36"/>
      <x:c r="F41" s="36"/>
      <x:c r="G41" s="39"/>
      <x:c r="H41" s="39"/>
      <x:c r="I41" s="39"/>
      <x:c r="J41" s="36" t="str">
        <x:f>IF(OR(I41="",G41="",H41=""),"",IF(AND(I41&gt;=G41,I41&lt;=H41),"Within Range","Out of Range"))</x:f>
      </x:c>
      <x:c r="K41" s="36" t="str">
        <x:f>IF(J41="","",IF(I41&lt;G41,"Below Min",IF(I41&gt;H41,"Above Max","None")))</x:f>
      </x:c>
      <x:c r="L41" s="36" t="str">
        <x:f>IF(J41="","",IF(J41="Out of Range","Yes","No"))</x:f>
      </x:c>
      <x:c r="M41" s="36"/>
      <x:c r="N41" s="36"/>
      <x:c r="O41" s="36"/>
      <x:c r="P41" s="36"/>
      <x:c r="Q41" s="36"/>
    </x:row>
    <x:row r="42" ht="15" hidden="0" customHeight="1">
      <x:c r="A42" s="36"/>
      <x:c r="B42" s="43"/>
      <x:c r="C42" s="36"/>
      <x:c r="D42" s="36"/>
      <x:c r="E42" s="36"/>
      <x:c r="F42" s="36"/>
      <x:c r="G42" s="39"/>
      <x:c r="H42" s="39"/>
      <x:c r="I42" s="39"/>
      <x:c r="J42" s="36" t="str">
        <x:f>IF(OR(I42="",G42="",H42=""),"",IF(AND(I42&gt;=G42,I42&lt;=H42),"Within Range","Out of Range"))</x:f>
      </x:c>
      <x:c r="K42" s="36" t="str">
        <x:f>IF(J42="","",IF(I42&lt;G42,"Below Min",IF(I42&gt;H42,"Above Max","None")))</x:f>
      </x:c>
      <x:c r="L42" s="36" t="str">
        <x:f>IF(J42="","",IF(J42="Out of Range","Yes","No"))</x:f>
      </x:c>
      <x:c r="M42" s="36"/>
      <x:c r="N42" s="36"/>
      <x:c r="O42" s="36"/>
      <x:c r="P42" s="36"/>
      <x:c r="Q42" s="36"/>
    </x:row>
    <x:row r="43" ht="15" hidden="0" customHeight="1">
      <x:c r="A43" s="36"/>
      <x:c r="B43" s="43"/>
      <x:c r="C43" s="36"/>
      <x:c r="D43" s="36"/>
      <x:c r="E43" s="36"/>
      <x:c r="F43" s="36"/>
      <x:c r="G43" s="39"/>
      <x:c r="H43" s="39"/>
      <x:c r="I43" s="39"/>
      <x:c r="J43" s="36" t="str">
        <x:f>IF(OR(I43="",G43="",H43=""),"",IF(AND(I43&gt;=G43,I43&lt;=H43),"Within Range","Out of Range"))</x:f>
      </x:c>
      <x:c r="K43" s="36" t="str">
        <x:f>IF(J43="","",IF(I43&lt;G43,"Below Min",IF(I43&gt;H43,"Above Max","None")))</x:f>
      </x:c>
      <x:c r="L43" s="36" t="str">
        <x:f>IF(J43="","",IF(J43="Out of Range","Yes","No"))</x:f>
      </x:c>
      <x:c r="M43" s="36"/>
      <x:c r="N43" s="36"/>
      <x:c r="O43" s="36"/>
      <x:c r="P43" s="36"/>
      <x:c r="Q43" s="36"/>
    </x:row>
    <x:row r="44" ht="15" hidden="0" customHeight="1">
      <x:c r="A44" s="36"/>
      <x:c r="B44" s="43"/>
      <x:c r="C44" s="36"/>
      <x:c r="D44" s="36"/>
      <x:c r="E44" s="36"/>
      <x:c r="F44" s="36"/>
      <x:c r="G44" s="39"/>
      <x:c r="H44" s="39"/>
      <x:c r="I44" s="39"/>
      <x:c r="J44" s="36" t="str">
        <x:f>IF(OR(I44="",G44="",H44=""),"",IF(AND(I44&gt;=G44,I44&lt;=H44),"Within Range","Out of Range"))</x:f>
      </x:c>
      <x:c r="K44" s="36" t="str">
        <x:f>IF(J44="","",IF(I44&lt;G44,"Below Min",IF(I44&gt;H44,"Above Max","None")))</x:f>
      </x:c>
      <x:c r="L44" s="36" t="str">
        <x:f>IF(J44="","",IF(J44="Out of Range","Yes","No"))</x:f>
      </x:c>
      <x:c r="M44" s="36"/>
      <x:c r="N44" s="36"/>
      <x:c r="O44" s="36"/>
      <x:c r="P44" s="36"/>
      <x:c r="Q44" s="36"/>
    </x:row>
    <x:row r="45" ht="15" hidden="0" customHeight="1">
      <x:c r="A45" s="36"/>
      <x:c r="B45" s="43"/>
      <x:c r="C45" s="36"/>
      <x:c r="D45" s="36"/>
      <x:c r="E45" s="36"/>
      <x:c r="F45" s="36"/>
      <x:c r="G45" s="39"/>
      <x:c r="H45" s="39"/>
      <x:c r="I45" s="39"/>
      <x:c r="J45" s="36" t="str">
        <x:f>IF(OR(I45="",G45="",H45=""),"",IF(AND(I45&gt;=G45,I45&lt;=H45),"Within Range","Out of Range"))</x:f>
      </x:c>
      <x:c r="K45" s="36" t="str">
        <x:f>IF(J45="","",IF(I45&lt;G45,"Below Min",IF(I45&gt;H45,"Above Max","None")))</x:f>
      </x:c>
      <x:c r="L45" s="36" t="str">
        <x:f>IF(J45="","",IF(J45="Out of Range","Yes","No"))</x:f>
      </x:c>
      <x:c r="M45" s="36"/>
      <x:c r="N45" s="36"/>
      <x:c r="O45" s="36"/>
      <x:c r="P45" s="36"/>
      <x:c r="Q45" s="36"/>
    </x:row>
    <x:row r="46" ht="15" hidden="0" customHeight="1">
      <x:c r="A46" s="36"/>
      <x:c r="B46" s="43"/>
      <x:c r="C46" s="36"/>
      <x:c r="D46" s="36"/>
      <x:c r="E46" s="36"/>
      <x:c r="F46" s="36"/>
      <x:c r="G46" s="39"/>
      <x:c r="H46" s="39"/>
      <x:c r="I46" s="39"/>
      <x:c r="J46" s="36" t="str">
        <x:f>IF(OR(I46="",G46="",H46=""),"",IF(AND(I46&gt;=G46,I46&lt;=H46),"Within Range","Out of Range"))</x:f>
      </x:c>
      <x:c r="K46" s="36" t="str">
        <x:f>IF(J46="","",IF(I46&lt;G46,"Below Min",IF(I46&gt;H46,"Above Max","None")))</x:f>
      </x:c>
      <x:c r="L46" s="36" t="str">
        <x:f>IF(J46="","",IF(J46="Out of Range","Yes","No"))</x:f>
      </x:c>
      <x:c r="M46" s="36"/>
      <x:c r="N46" s="36"/>
      <x:c r="O46" s="36"/>
      <x:c r="P46" s="36"/>
      <x:c r="Q46" s="36"/>
    </x:row>
    <x:row r="47" ht="15" hidden="0" customHeight="1">
      <x:c r="A47" s="36"/>
      <x:c r="B47" s="43"/>
      <x:c r="C47" s="36"/>
      <x:c r="D47" s="36"/>
      <x:c r="E47" s="36"/>
      <x:c r="F47" s="36"/>
      <x:c r="G47" s="39"/>
      <x:c r="H47" s="39"/>
      <x:c r="I47" s="39"/>
      <x:c r="J47" s="36" t="str">
        <x:f>IF(OR(I47="",G47="",H47=""),"",IF(AND(I47&gt;=G47,I47&lt;=H47),"Within Range","Out of Range"))</x:f>
      </x:c>
      <x:c r="K47" s="36" t="str">
        <x:f>IF(J47="","",IF(I47&lt;G47,"Below Min",IF(I47&gt;H47,"Above Max","None")))</x:f>
      </x:c>
      <x:c r="L47" s="36" t="str">
        <x:f>IF(J47="","",IF(J47="Out of Range","Yes","No"))</x:f>
      </x:c>
      <x:c r="M47" s="36"/>
      <x:c r="N47" s="36"/>
      <x:c r="O47" s="36"/>
      <x:c r="P47" s="36"/>
      <x:c r="Q47" s="36"/>
    </x:row>
    <x:row r="48" ht="15" hidden="0" customHeight="1">
      <x:c r="A48" s="36"/>
      <x:c r="B48" s="43"/>
      <x:c r="C48" s="36"/>
      <x:c r="D48" s="36"/>
      <x:c r="E48" s="36"/>
      <x:c r="F48" s="36"/>
      <x:c r="G48" s="39"/>
      <x:c r="H48" s="39"/>
      <x:c r="I48" s="39"/>
      <x:c r="J48" s="36" t="str">
        <x:f>IF(OR(I48="",G48="",H48=""),"",IF(AND(I48&gt;=G48,I48&lt;=H48),"Within Range","Out of Range"))</x:f>
      </x:c>
      <x:c r="K48" s="36" t="str">
        <x:f>IF(J48="","",IF(I48&lt;G48,"Below Min",IF(I48&gt;H48,"Above Max","None")))</x:f>
      </x:c>
      <x:c r="L48" s="36" t="str">
        <x:f>IF(J48="","",IF(J48="Out of Range","Yes","No"))</x:f>
      </x:c>
      <x:c r="M48" s="36"/>
      <x:c r="N48" s="36"/>
      <x:c r="O48" s="36"/>
      <x:c r="P48" s="36"/>
      <x:c r="Q48" s="36"/>
    </x:row>
    <x:row r="49" ht="15" hidden="0" customHeight="1">
      <x:c r="A49" s="36"/>
      <x:c r="B49" s="43"/>
      <x:c r="C49" s="36"/>
      <x:c r="D49" s="36"/>
      <x:c r="E49" s="36"/>
      <x:c r="F49" s="36"/>
      <x:c r="G49" s="39"/>
      <x:c r="H49" s="39"/>
      <x:c r="I49" s="39"/>
      <x:c r="J49" s="36" t="str">
        <x:f>IF(OR(I49="",G49="",H49=""),"",IF(AND(I49&gt;=G49,I49&lt;=H49),"Within Range","Out of Range"))</x:f>
      </x:c>
      <x:c r="K49" s="36" t="str">
        <x:f>IF(J49="","",IF(I49&lt;G49,"Below Min",IF(I49&gt;H49,"Above Max","None")))</x:f>
      </x:c>
      <x:c r="L49" s="36" t="str">
        <x:f>IF(J49="","",IF(J49="Out of Range","Yes","No"))</x:f>
      </x:c>
      <x:c r="M49" s="36"/>
      <x:c r="N49" s="36"/>
      <x:c r="O49" s="36"/>
      <x:c r="P49" s="36"/>
      <x:c r="Q49" s="36"/>
    </x:row>
    <x:row r="50" ht="15" hidden="0" customHeight="1">
      <x:c r="A50" s="36"/>
      <x:c r="B50" s="43"/>
      <x:c r="C50" s="36"/>
      <x:c r="D50" s="36"/>
      <x:c r="E50" s="36"/>
      <x:c r="F50" s="36"/>
      <x:c r="G50" s="39"/>
      <x:c r="H50" s="39"/>
      <x:c r="I50" s="39"/>
      <x:c r="J50" s="36" t="str">
        <x:f>IF(OR(I50="",G50="",H50=""),"",IF(AND(I50&gt;=G50,I50&lt;=H50),"Within Range","Out of Range"))</x:f>
      </x:c>
      <x:c r="K50" s="36" t="str">
        <x:f>IF(J50="","",IF(I50&lt;G50,"Below Min",IF(I50&gt;H50,"Above Max","None")))</x:f>
      </x:c>
      <x:c r="L50" s="36" t="str">
        <x:f>IF(J50="","",IF(J50="Out of Range","Yes","No"))</x:f>
      </x:c>
      <x:c r="M50" s="36"/>
      <x:c r="N50" s="36"/>
      <x:c r="O50" s="36"/>
      <x:c r="P50" s="36"/>
      <x:c r="Q50" s="36"/>
    </x:row>
    <x:row r="51" ht="15" hidden="0" customHeight="1">
      <x:c r="A51" s="36"/>
      <x:c r="B51" s="43"/>
      <x:c r="C51" s="36"/>
      <x:c r="D51" s="36"/>
      <x:c r="E51" s="36"/>
      <x:c r="F51" s="36"/>
      <x:c r="G51" s="39"/>
      <x:c r="H51" s="39"/>
      <x:c r="I51" s="39"/>
      <x:c r="J51" s="36" t="str">
        <x:f>IF(OR(I51="",G51="",H51=""),"",IF(AND(I51&gt;=G51,I51&lt;=H51),"Within Range","Out of Range"))</x:f>
      </x:c>
      <x:c r="K51" s="36" t="str">
        <x:f>IF(J51="","",IF(I51&lt;G51,"Below Min",IF(I51&gt;H51,"Above Max","None")))</x:f>
      </x:c>
      <x:c r="L51" s="36" t="str">
        <x:f>IF(J51="","",IF(J51="Out of Range","Yes","No"))</x:f>
      </x:c>
      <x:c r="M51" s="36"/>
      <x:c r="N51" s="36"/>
      <x:c r="O51" s="36"/>
      <x:c r="P51" s="36"/>
      <x:c r="Q51" s="36"/>
    </x:row>
    <x:row r="52" ht="15" hidden="0" customHeight="1">
      <x:c r="A52" s="36"/>
      <x:c r="B52" s="43"/>
      <x:c r="C52" s="36"/>
      <x:c r="D52" s="36"/>
      <x:c r="E52" s="36"/>
      <x:c r="F52" s="36"/>
      <x:c r="G52" s="39"/>
      <x:c r="H52" s="39"/>
      <x:c r="I52" s="39"/>
      <x:c r="J52" s="36" t="str">
        <x:f>IF(OR(I52="",G52="",H52=""),"",IF(AND(I52&gt;=G52,I52&lt;=H52),"Within Range","Out of Range"))</x:f>
      </x:c>
      <x:c r="K52" s="36" t="str">
        <x:f>IF(J52="","",IF(I52&lt;G52,"Below Min",IF(I52&gt;H52,"Above Max","None")))</x:f>
      </x:c>
      <x:c r="L52" s="36" t="str">
        <x:f>IF(J52="","",IF(J52="Out of Range","Yes","No"))</x:f>
      </x:c>
      <x:c r="M52" s="36"/>
      <x:c r="N52" s="36"/>
      <x:c r="O52" s="36"/>
      <x:c r="P52" s="36"/>
      <x:c r="Q52" s="36"/>
    </x:row>
    <x:row r="53" ht="15" hidden="0" customHeight="1">
      <x:c r="A53" s="36"/>
      <x:c r="B53" s="43"/>
      <x:c r="C53" s="36"/>
      <x:c r="D53" s="36"/>
      <x:c r="E53" s="36"/>
      <x:c r="F53" s="36"/>
      <x:c r="G53" s="39"/>
      <x:c r="H53" s="39"/>
      <x:c r="I53" s="39"/>
      <x:c r="J53" s="36" t="str">
        <x:f>IF(OR(I53="",G53="",H53=""),"",IF(AND(I53&gt;=G53,I53&lt;=H53),"Within Range","Out of Range"))</x:f>
      </x:c>
      <x:c r="K53" s="36" t="str">
        <x:f>IF(J53="","",IF(I53&lt;G53,"Below Min",IF(I53&gt;H53,"Above Max","None")))</x:f>
      </x:c>
      <x:c r="L53" s="36" t="str">
        <x:f>IF(J53="","",IF(J53="Out of Range","Yes","No"))</x:f>
      </x:c>
      <x:c r="M53" s="36"/>
      <x:c r="N53" s="36"/>
      <x:c r="O53" s="36"/>
      <x:c r="P53" s="36"/>
      <x:c r="Q53" s="36"/>
    </x:row>
    <x:row r="54" ht="15" hidden="0" customHeight="1">
      <x:c r="A54" s="36"/>
      <x:c r="B54" s="43"/>
      <x:c r="C54" s="36"/>
      <x:c r="D54" s="36"/>
      <x:c r="E54" s="36"/>
      <x:c r="F54" s="36"/>
      <x:c r="G54" s="39"/>
      <x:c r="H54" s="39"/>
      <x:c r="I54" s="39"/>
      <x:c r="J54" s="36" t="str">
        <x:f>IF(OR(I54="",G54="",H54=""),"",IF(AND(I54&gt;=G54,I54&lt;=H54),"Within Range","Out of Range"))</x:f>
      </x:c>
      <x:c r="K54" s="36" t="str">
        <x:f>IF(J54="","",IF(I54&lt;G54,"Below Min",IF(I54&gt;H54,"Above Max","None")))</x:f>
      </x:c>
      <x:c r="L54" s="36" t="str">
        <x:f>IF(J54="","",IF(J54="Out of Range","Yes","No"))</x:f>
      </x:c>
      <x:c r="M54" s="36"/>
      <x:c r="N54" s="36"/>
      <x:c r="O54" s="36"/>
      <x:c r="P54" s="36"/>
      <x:c r="Q54" s="36"/>
    </x:row>
    <x:row r="55" ht="15" hidden="0" customHeight="1">
      <x:c r="A55" s="36"/>
      <x:c r="B55" s="43"/>
      <x:c r="C55" s="36"/>
      <x:c r="D55" s="36"/>
      <x:c r="E55" s="36"/>
      <x:c r="F55" s="36"/>
      <x:c r="G55" s="39"/>
      <x:c r="H55" s="39"/>
      <x:c r="I55" s="39"/>
      <x:c r="J55" s="36" t="str">
        <x:f>IF(OR(I55="",G55="",H55=""),"",IF(AND(I55&gt;=G55,I55&lt;=H55),"Within Range","Out of Range"))</x:f>
      </x:c>
      <x:c r="K55" s="36" t="str">
        <x:f>IF(J55="","",IF(I55&lt;G55,"Below Min",IF(I55&gt;H55,"Above Max","None")))</x:f>
      </x:c>
      <x:c r="L55" s="36" t="str">
        <x:f>IF(J55="","",IF(J55="Out of Range","Yes","No"))</x:f>
      </x:c>
      <x:c r="M55" s="36"/>
      <x:c r="N55" s="36"/>
      <x:c r="O55" s="36"/>
      <x:c r="P55" s="36"/>
      <x:c r="Q55" s="36"/>
    </x:row>
    <x:row r="56" ht="15" hidden="0" customHeight="1">
      <x:c r="A56" s="36"/>
      <x:c r="B56" s="43"/>
      <x:c r="C56" s="36"/>
      <x:c r="D56" s="36"/>
      <x:c r="E56" s="36"/>
      <x:c r="F56" s="36"/>
      <x:c r="G56" s="39"/>
      <x:c r="H56" s="39"/>
      <x:c r="I56" s="39"/>
      <x:c r="J56" s="36" t="str">
        <x:f>IF(OR(I56="",G56="",H56=""),"",IF(AND(I56&gt;=G56,I56&lt;=H56),"Within Range","Out of Range"))</x:f>
      </x:c>
      <x:c r="K56" s="36" t="str">
        <x:f>IF(J56="","",IF(I56&lt;G56,"Below Min",IF(I56&gt;H56,"Above Max","None")))</x:f>
      </x:c>
      <x:c r="L56" s="36" t="str">
        <x:f>IF(J56="","",IF(J56="Out of Range","Yes","No"))</x:f>
      </x:c>
      <x:c r="M56" s="36"/>
      <x:c r="N56" s="36"/>
      <x:c r="O56" s="36"/>
      <x:c r="P56" s="36"/>
      <x:c r="Q56" s="36"/>
    </x:row>
    <x:row r="57" ht="15" hidden="0" customHeight="1">
      <x:c r="A57" s="36"/>
      <x:c r="B57" s="43"/>
      <x:c r="C57" s="36"/>
      <x:c r="D57" s="36"/>
      <x:c r="E57" s="36"/>
      <x:c r="F57" s="36"/>
      <x:c r="G57" s="39"/>
      <x:c r="H57" s="39"/>
      <x:c r="I57" s="39"/>
      <x:c r="J57" s="36" t="str">
        <x:f>IF(OR(I57="",G57="",H57=""),"",IF(AND(I57&gt;=G57,I57&lt;=H57),"Within Range","Out of Range"))</x:f>
      </x:c>
      <x:c r="K57" s="36" t="str">
        <x:f>IF(J57="","",IF(I57&lt;G57,"Below Min",IF(I57&gt;H57,"Above Max","None")))</x:f>
      </x:c>
      <x:c r="L57" s="36" t="str">
        <x:f>IF(J57="","",IF(J57="Out of Range","Yes","No"))</x:f>
      </x:c>
      <x:c r="M57" s="36"/>
      <x:c r="N57" s="36"/>
      <x:c r="O57" s="36"/>
      <x:c r="P57" s="36"/>
      <x:c r="Q57" s="36"/>
    </x:row>
    <x:row r="58" ht="15" hidden="0" customHeight="1">
      <x:c r="A58" s="36"/>
      <x:c r="B58" s="43"/>
      <x:c r="C58" s="36"/>
      <x:c r="D58" s="36"/>
      <x:c r="E58" s="36"/>
      <x:c r="F58" s="36"/>
      <x:c r="G58" s="39"/>
      <x:c r="H58" s="39"/>
      <x:c r="I58" s="39"/>
      <x:c r="J58" s="36" t="str">
        <x:f>IF(OR(I58="",G58="",H58=""),"",IF(AND(I58&gt;=G58,I58&lt;=H58),"Within Range","Out of Range"))</x:f>
      </x:c>
      <x:c r="K58" s="36" t="str">
        <x:f>IF(J58="","",IF(I58&lt;G58,"Below Min",IF(I58&gt;H58,"Above Max","None")))</x:f>
      </x:c>
      <x:c r="L58" s="36" t="str">
        <x:f>IF(J58="","",IF(J58="Out of Range","Yes","No"))</x:f>
      </x:c>
      <x:c r="M58" s="36"/>
      <x:c r="N58" s="36"/>
      <x:c r="O58" s="36"/>
      <x:c r="P58" s="36"/>
      <x:c r="Q58" s="36"/>
    </x:row>
    <x:row r="59" ht="15" hidden="0" customHeight="1">
      <x:c r="A59" s="36"/>
      <x:c r="B59" s="43"/>
      <x:c r="C59" s="36"/>
      <x:c r="D59" s="36"/>
      <x:c r="E59" s="36"/>
      <x:c r="F59" s="36"/>
      <x:c r="G59" s="39"/>
      <x:c r="H59" s="39"/>
      <x:c r="I59" s="39"/>
      <x:c r="J59" s="36" t="str">
        <x:f>IF(OR(I59="",G59="",H59=""),"",IF(AND(I59&gt;=G59,I59&lt;=H59),"Within Range","Out of Range"))</x:f>
      </x:c>
      <x:c r="K59" s="36" t="str">
        <x:f>IF(J59="","",IF(I59&lt;G59,"Below Min",IF(I59&gt;H59,"Above Max","None")))</x:f>
      </x:c>
      <x:c r="L59" s="36" t="str">
        <x:f>IF(J59="","",IF(J59="Out of Range","Yes","No"))</x:f>
      </x:c>
      <x:c r="M59" s="36"/>
      <x:c r="N59" s="36"/>
      <x:c r="O59" s="36"/>
      <x:c r="P59" s="36"/>
      <x:c r="Q59" s="36"/>
    </x:row>
    <x:row r="60" ht="15" hidden="0" customHeight="1">
      <x:c r="A60" s="36"/>
      <x:c r="B60" s="43"/>
      <x:c r="C60" s="36"/>
      <x:c r="D60" s="36"/>
      <x:c r="E60" s="36"/>
      <x:c r="F60" s="36"/>
      <x:c r="G60" s="39"/>
      <x:c r="H60" s="39"/>
      <x:c r="I60" s="39"/>
      <x:c r="J60" s="36" t="str">
        <x:f>IF(OR(I60="",G60="",H60=""),"",IF(AND(I60&gt;=G60,I60&lt;=H60),"Within Range","Out of Range"))</x:f>
      </x:c>
      <x:c r="K60" s="36" t="str">
        <x:f>IF(J60="","",IF(I60&lt;G60,"Below Min",IF(I60&gt;H60,"Above Max","None")))</x:f>
      </x:c>
      <x:c r="L60" s="36" t="str">
        <x:f>IF(J60="","",IF(J60="Out of Range","Yes","No"))</x:f>
      </x:c>
      <x:c r="M60" s="36"/>
      <x:c r="N60" s="36"/>
      <x:c r="O60" s="36"/>
      <x:c r="P60" s="36"/>
      <x:c r="Q60" s="36"/>
    </x:row>
    <x:row r="61" ht="15" hidden="0" customHeight="1">
      <x:c r="A61" s="36"/>
      <x:c r="B61" s="43"/>
      <x:c r="C61" s="36"/>
      <x:c r="D61" s="36"/>
      <x:c r="E61" s="36"/>
      <x:c r="F61" s="36"/>
      <x:c r="G61" s="39"/>
      <x:c r="H61" s="39"/>
      <x:c r="I61" s="39"/>
      <x:c r="J61" s="36" t="str">
        <x:f>IF(OR(I61="",G61="",H61=""),"",IF(AND(I61&gt;=G61,I61&lt;=H61),"Within Range","Out of Range"))</x:f>
      </x:c>
      <x:c r="K61" s="36" t="str">
        <x:f>IF(J61="","",IF(I61&lt;G61,"Below Min",IF(I61&gt;H61,"Above Max","None")))</x:f>
      </x:c>
      <x:c r="L61" s="36" t="str">
        <x:f>IF(J61="","",IF(J61="Out of Range","Yes","No"))</x:f>
      </x:c>
      <x:c r="M61" s="36"/>
      <x:c r="N61" s="36"/>
      <x:c r="O61" s="36"/>
      <x:c r="P61" s="36"/>
      <x:c r="Q61" s="36"/>
    </x:row>
    <x:row r="62" ht="15" hidden="0" customHeight="1">
      <x:c r="A62" s="36"/>
      <x:c r="B62" s="43"/>
      <x:c r="C62" s="36"/>
      <x:c r="D62" s="36"/>
      <x:c r="E62" s="36"/>
      <x:c r="F62" s="36"/>
      <x:c r="G62" s="39"/>
      <x:c r="H62" s="39"/>
      <x:c r="I62" s="39"/>
      <x:c r="J62" s="36" t="str">
        <x:f>IF(OR(I62="",G62="",H62=""),"",IF(AND(I62&gt;=G62,I62&lt;=H62),"Within Range","Out of Range"))</x:f>
      </x:c>
      <x:c r="K62" s="36" t="str">
        <x:f>IF(J62="","",IF(I62&lt;G62,"Below Min",IF(I62&gt;H62,"Above Max","None")))</x:f>
      </x:c>
      <x:c r="L62" s="36" t="str">
        <x:f>IF(J62="","",IF(J62="Out of Range","Yes","No"))</x:f>
      </x:c>
      <x:c r="M62" s="36"/>
      <x:c r="N62" s="36"/>
      <x:c r="O62" s="36"/>
      <x:c r="P62" s="36"/>
      <x:c r="Q62" s="36"/>
    </x:row>
    <x:row r="63" ht="15" hidden="0" customHeight="1">
      <x:c r="A63" s="36"/>
      <x:c r="B63" s="43"/>
      <x:c r="C63" s="36"/>
      <x:c r="D63" s="36"/>
      <x:c r="E63" s="36"/>
      <x:c r="F63" s="36"/>
      <x:c r="G63" s="39"/>
      <x:c r="H63" s="39"/>
      <x:c r="I63" s="39"/>
      <x:c r="J63" s="36" t="str">
        <x:f>IF(OR(I63="",G63="",H63=""),"",IF(AND(I63&gt;=G63,I63&lt;=H63),"Within Range","Out of Range"))</x:f>
      </x:c>
      <x:c r="K63" s="36" t="str">
        <x:f>IF(J63="","",IF(I63&lt;G63,"Below Min",IF(I63&gt;H63,"Above Max","None")))</x:f>
      </x:c>
      <x:c r="L63" s="36" t="str">
        <x:f>IF(J63="","",IF(J63="Out of Range","Yes","No"))</x:f>
      </x:c>
      <x:c r="M63" s="36"/>
      <x:c r="N63" s="36"/>
      <x:c r="O63" s="36"/>
      <x:c r="P63" s="36"/>
      <x:c r="Q63" s="36"/>
    </x:row>
    <x:row r="64" ht="15" hidden="0" customHeight="1">
      <x:c r="A64" s="36"/>
      <x:c r="B64" s="43"/>
      <x:c r="C64" s="36"/>
      <x:c r="D64" s="36"/>
      <x:c r="E64" s="36"/>
      <x:c r="F64" s="36"/>
      <x:c r="G64" s="39"/>
      <x:c r="H64" s="39"/>
      <x:c r="I64" s="39"/>
      <x:c r="J64" s="36" t="str">
        <x:f>IF(OR(I64="",G64="",H64=""),"",IF(AND(I64&gt;=G64,I64&lt;=H64),"Within Range","Out of Range"))</x:f>
      </x:c>
      <x:c r="K64" s="36" t="str">
        <x:f>IF(J64="","",IF(I64&lt;G64,"Below Min",IF(I64&gt;H64,"Above Max","None")))</x:f>
      </x:c>
      <x:c r="L64" s="36" t="str">
        <x:f>IF(J64="","",IF(J64="Out of Range","Yes","No"))</x:f>
      </x:c>
      <x:c r="M64" s="36"/>
      <x:c r="N64" s="36"/>
      <x:c r="O64" s="36"/>
      <x:c r="P64" s="36"/>
      <x:c r="Q64" s="36"/>
    </x:row>
    <x:row r="65" ht="15" hidden="0" customHeight="1">
      <x:c r="A65" s="36"/>
      <x:c r="B65" s="43"/>
      <x:c r="C65" s="36"/>
      <x:c r="D65" s="36"/>
      <x:c r="E65" s="36"/>
      <x:c r="F65" s="36"/>
      <x:c r="G65" s="39"/>
      <x:c r="H65" s="39"/>
      <x:c r="I65" s="39"/>
      <x:c r="J65" s="36" t="str">
        <x:f>IF(OR(I65="",G65="",H65=""),"",IF(AND(I65&gt;=G65,I65&lt;=H65),"Within Range","Out of Range"))</x:f>
      </x:c>
      <x:c r="K65" s="36" t="str">
        <x:f>IF(J65="","",IF(I65&lt;G65,"Below Min",IF(I65&gt;H65,"Above Max","None")))</x:f>
      </x:c>
      <x:c r="L65" s="36" t="str">
        <x:f>IF(J65="","",IF(J65="Out of Range","Yes","No"))</x:f>
      </x:c>
      <x:c r="M65" s="36"/>
      <x:c r="N65" s="36"/>
      <x:c r="O65" s="36"/>
      <x:c r="P65" s="36"/>
      <x:c r="Q65" s="36"/>
    </x:row>
    <x:row r="66" ht="15" hidden="0" customHeight="1">
      <x:c r="A66" s="36"/>
      <x:c r="B66" s="43"/>
      <x:c r="C66" s="36"/>
      <x:c r="D66" s="36"/>
      <x:c r="E66" s="36"/>
      <x:c r="F66" s="36"/>
      <x:c r="G66" s="39"/>
      <x:c r="H66" s="39"/>
      <x:c r="I66" s="39"/>
      <x:c r="J66" s="36" t="str">
        <x:f>IF(OR(I66="",G66="",H66=""),"",IF(AND(I66&gt;=G66,I66&lt;=H66),"Within Range","Out of Range"))</x:f>
      </x:c>
      <x:c r="K66" s="36" t="str">
        <x:f>IF(J66="","",IF(I66&lt;G66,"Below Min",IF(I66&gt;H66,"Above Max","None")))</x:f>
      </x:c>
      <x:c r="L66" s="36" t="str">
        <x:f>IF(J66="","",IF(J66="Out of Range","Yes","No"))</x:f>
      </x:c>
      <x:c r="M66" s="36"/>
      <x:c r="N66" s="36"/>
      <x:c r="O66" s="36"/>
      <x:c r="P66" s="36"/>
      <x:c r="Q66" s="36"/>
    </x:row>
    <x:row r="67" ht="15" hidden="0" customHeight="1">
      <x:c r="A67" s="36"/>
      <x:c r="B67" s="43"/>
      <x:c r="C67" s="36"/>
      <x:c r="D67" s="36"/>
      <x:c r="E67" s="36"/>
      <x:c r="F67" s="36"/>
      <x:c r="G67" s="39"/>
      <x:c r="H67" s="39"/>
      <x:c r="I67" s="39"/>
      <x:c r="J67" s="36" t="str">
        <x:f>IF(OR(I67="",G67="",H67=""),"",IF(AND(I67&gt;=G67,I67&lt;=H67),"Within Range","Out of Range"))</x:f>
      </x:c>
      <x:c r="K67" s="36" t="str">
        <x:f>IF(J67="","",IF(I67&lt;G67,"Below Min",IF(I67&gt;H67,"Above Max","None")))</x:f>
      </x:c>
      <x:c r="L67" s="36" t="str">
        <x:f>IF(J67="","",IF(J67="Out of Range","Yes","No"))</x:f>
      </x:c>
      <x:c r="M67" s="36"/>
      <x:c r="N67" s="36"/>
      <x:c r="O67" s="36"/>
      <x:c r="P67" s="36"/>
      <x:c r="Q67" s="36"/>
    </x:row>
    <x:row r="68" ht="15" hidden="0" customHeight="1">
      <x:c r="A68" s="36"/>
      <x:c r="B68" s="43"/>
      <x:c r="C68" s="36"/>
      <x:c r="D68" s="36"/>
      <x:c r="E68" s="36"/>
      <x:c r="F68" s="36"/>
      <x:c r="G68" s="39"/>
      <x:c r="H68" s="39"/>
      <x:c r="I68" s="39"/>
      <x:c r="J68" s="36" t="str">
        <x:f>IF(OR(I68="",G68="",H68=""),"",IF(AND(I68&gt;=G68,I68&lt;=H68),"Within Range","Out of Range"))</x:f>
      </x:c>
      <x:c r="K68" s="36" t="str">
        <x:f>IF(J68="","",IF(I68&lt;G68,"Below Min",IF(I68&gt;H68,"Above Max","None")))</x:f>
      </x:c>
      <x:c r="L68" s="36" t="str">
        <x:f>IF(J68="","",IF(J68="Out of Range","Yes","No"))</x:f>
      </x:c>
      <x:c r="M68" s="36"/>
      <x:c r="N68" s="36"/>
      <x:c r="O68" s="36"/>
      <x:c r="P68" s="36"/>
      <x:c r="Q68" s="36"/>
    </x:row>
    <x:row r="69" ht="15" hidden="0" customHeight="1">
      <x:c r="A69" s="36"/>
      <x:c r="B69" s="43"/>
      <x:c r="C69" s="36"/>
      <x:c r="D69" s="36"/>
      <x:c r="E69" s="36"/>
      <x:c r="F69" s="36"/>
      <x:c r="G69" s="39"/>
      <x:c r="H69" s="39"/>
      <x:c r="I69" s="39"/>
      <x:c r="J69" s="36" t="str">
        <x:f>IF(OR(I69="",G69="",H69=""),"",IF(AND(I69&gt;=G69,I69&lt;=H69),"Within Range","Out of Range"))</x:f>
      </x:c>
      <x:c r="K69" s="36" t="str">
        <x:f>IF(J69="","",IF(I69&lt;G69,"Below Min",IF(I69&gt;H69,"Above Max","None")))</x:f>
      </x:c>
      <x:c r="L69" s="36" t="str">
        <x:f>IF(J69="","",IF(J69="Out of Range","Yes","No"))</x:f>
      </x:c>
      <x:c r="M69" s="36"/>
      <x:c r="N69" s="36"/>
      <x:c r="O69" s="36"/>
      <x:c r="P69" s="36"/>
      <x:c r="Q69" s="36"/>
    </x:row>
    <x:row r="70" ht="15" hidden="0" customHeight="1">
      <x:c r="A70" s="36"/>
      <x:c r="B70" s="43"/>
      <x:c r="C70" s="36"/>
      <x:c r="D70" s="36"/>
      <x:c r="E70" s="36"/>
      <x:c r="F70" s="36"/>
      <x:c r="G70" s="39"/>
      <x:c r="H70" s="39"/>
      <x:c r="I70" s="39"/>
      <x:c r="J70" s="36" t="str">
        <x:f>IF(OR(I70="",G70="",H70=""),"",IF(AND(I70&gt;=G70,I70&lt;=H70),"Within Range","Out of Range"))</x:f>
      </x:c>
      <x:c r="K70" s="36" t="str">
        <x:f>IF(J70="","",IF(I70&lt;G70,"Below Min",IF(I70&gt;H70,"Above Max","None")))</x:f>
      </x:c>
      <x:c r="L70" s="36" t="str">
        <x:f>IF(J70="","",IF(J70="Out of Range","Yes","No"))</x:f>
      </x:c>
      <x:c r="M70" s="36"/>
      <x:c r="N70" s="36"/>
      <x:c r="O70" s="36"/>
      <x:c r="P70" s="36"/>
      <x:c r="Q70" s="36"/>
    </x:row>
    <x:row r="71" ht="15" hidden="0" customHeight="1">
      <x:c r="A71" s="36"/>
      <x:c r="B71" s="43"/>
      <x:c r="C71" s="36"/>
      <x:c r="D71" s="36"/>
      <x:c r="E71" s="36"/>
      <x:c r="F71" s="36"/>
      <x:c r="G71" s="39"/>
      <x:c r="H71" s="39"/>
      <x:c r="I71" s="39"/>
      <x:c r="J71" s="36" t="str">
        <x:f>IF(OR(I71="",G71="",H71=""),"",IF(AND(I71&gt;=G71,I71&lt;=H71),"Within Range","Out of Range"))</x:f>
      </x:c>
      <x:c r="K71" s="36" t="str">
        <x:f>IF(J71="","",IF(I71&lt;G71,"Below Min",IF(I71&gt;H71,"Above Max","None")))</x:f>
      </x:c>
      <x:c r="L71" s="36" t="str">
        <x:f>IF(J71="","",IF(J71="Out of Range","Yes","No"))</x:f>
      </x:c>
      <x:c r="M71" s="36"/>
      <x:c r="N71" s="36"/>
      <x:c r="O71" s="36"/>
      <x:c r="P71" s="36"/>
      <x:c r="Q71" s="36"/>
    </x:row>
    <x:row r="72" ht="15" hidden="0" customHeight="1">
      <x:c r="A72" s="36"/>
      <x:c r="B72" s="43"/>
      <x:c r="C72" s="36"/>
      <x:c r="D72" s="36"/>
      <x:c r="E72" s="36"/>
      <x:c r="F72" s="36"/>
      <x:c r="G72" s="39"/>
      <x:c r="H72" s="39"/>
      <x:c r="I72" s="39"/>
      <x:c r="J72" s="36" t="str">
        <x:f>IF(OR(I72="",G72="",H72=""),"",IF(AND(I72&gt;=G72,I72&lt;=H72),"Within Range","Out of Range"))</x:f>
      </x:c>
      <x:c r="K72" s="36" t="str">
        <x:f>IF(J72="","",IF(I72&lt;G72,"Below Min",IF(I72&gt;H72,"Above Max","None")))</x:f>
      </x:c>
      <x:c r="L72" s="36" t="str">
        <x:f>IF(J72="","",IF(J72="Out of Range","Yes","No"))</x:f>
      </x:c>
      <x:c r="M72" s="36"/>
      <x:c r="N72" s="36"/>
      <x:c r="O72" s="36"/>
      <x:c r="P72" s="36"/>
      <x:c r="Q72" s="36"/>
    </x:row>
    <x:row r="73" ht="15" hidden="0" customHeight="1">
      <x:c r="A73" s="36"/>
      <x:c r="B73" s="43"/>
      <x:c r="C73" s="36"/>
      <x:c r="D73" s="36"/>
      <x:c r="E73" s="36"/>
      <x:c r="F73" s="36"/>
      <x:c r="G73" s="39"/>
      <x:c r="H73" s="39"/>
      <x:c r="I73" s="39"/>
      <x:c r="J73" s="36" t="str">
        <x:f>IF(OR(I73="",G73="",H73=""),"",IF(AND(I73&gt;=G73,I73&lt;=H73),"Within Range","Out of Range"))</x:f>
      </x:c>
      <x:c r="K73" s="36" t="str">
        <x:f>IF(J73="","",IF(I73&lt;G73,"Below Min",IF(I73&gt;H73,"Above Max","None")))</x:f>
      </x:c>
      <x:c r="L73" s="36" t="str">
        <x:f>IF(J73="","",IF(J73="Out of Range","Yes","No"))</x:f>
      </x:c>
      <x:c r="M73" s="36"/>
      <x:c r="N73" s="36"/>
      <x:c r="O73" s="36"/>
      <x:c r="P73" s="36"/>
      <x:c r="Q73" s="36"/>
    </x:row>
    <x:row r="74" ht="15" hidden="0" customHeight="1">
      <x:c r="A74" s="36"/>
      <x:c r="B74" s="43"/>
      <x:c r="C74" s="36"/>
      <x:c r="D74" s="36"/>
      <x:c r="E74" s="36"/>
      <x:c r="F74" s="36"/>
      <x:c r="G74" s="39"/>
      <x:c r="H74" s="39"/>
      <x:c r="I74" s="39"/>
      <x:c r="J74" s="36" t="str">
        <x:f>IF(OR(I74="",G74="",H74=""),"",IF(AND(I74&gt;=G74,I74&lt;=H74),"Within Range","Out of Range"))</x:f>
      </x:c>
      <x:c r="K74" s="36" t="str">
        <x:f>IF(J74="","",IF(I74&lt;G74,"Below Min",IF(I74&gt;H74,"Above Max","None")))</x:f>
      </x:c>
      <x:c r="L74" s="36" t="str">
        <x:f>IF(J74="","",IF(J74="Out of Range","Yes","No"))</x:f>
      </x:c>
      <x:c r="M74" s="36"/>
      <x:c r="N74" s="36"/>
      <x:c r="O74" s="36"/>
      <x:c r="P74" s="36"/>
      <x:c r="Q74" s="36"/>
    </x:row>
    <x:row r="75" ht="15" hidden="0" customHeight="1">
      <x:c r="A75" s="36"/>
      <x:c r="B75" s="43"/>
      <x:c r="C75" s="36"/>
      <x:c r="D75" s="36"/>
      <x:c r="E75" s="36"/>
      <x:c r="F75" s="36"/>
      <x:c r="G75" s="39"/>
      <x:c r="H75" s="39"/>
      <x:c r="I75" s="39"/>
      <x:c r="J75" s="36" t="str">
        <x:f>IF(OR(I75="",G75="",H75=""),"",IF(AND(I75&gt;=G75,I75&lt;=H75),"Within Range","Out of Range"))</x:f>
      </x:c>
      <x:c r="K75" s="36" t="str">
        <x:f>IF(J75="","",IF(I75&lt;G75,"Below Min",IF(I75&gt;H75,"Above Max","None")))</x:f>
      </x:c>
      <x:c r="L75" s="36" t="str">
        <x:f>IF(J75="","",IF(J75="Out of Range","Yes","No"))</x:f>
      </x:c>
      <x:c r="M75" s="36"/>
      <x:c r="N75" s="36"/>
      <x:c r="O75" s="36"/>
      <x:c r="P75" s="36"/>
      <x:c r="Q75" s="36"/>
    </x:row>
    <x:row r="76" ht="15" hidden="0" customHeight="1">
      <x:c r="A76" s="36"/>
      <x:c r="B76" s="43"/>
      <x:c r="C76" s="36"/>
      <x:c r="D76" s="36"/>
      <x:c r="E76" s="36"/>
      <x:c r="F76" s="36"/>
      <x:c r="G76" s="39"/>
      <x:c r="H76" s="39"/>
      <x:c r="I76" s="39"/>
      <x:c r="J76" s="36" t="str">
        <x:f>IF(OR(I76="",G76="",H76=""),"",IF(AND(I76&gt;=G76,I76&lt;=H76),"Within Range","Out of Range"))</x:f>
      </x:c>
      <x:c r="K76" s="36" t="str">
        <x:f>IF(J76="","",IF(I76&lt;G76,"Below Min",IF(I76&gt;H76,"Above Max","None")))</x:f>
      </x:c>
      <x:c r="L76" s="36" t="str">
        <x:f>IF(J76="","",IF(J76="Out of Range","Yes","No"))</x:f>
      </x:c>
      <x:c r="M76" s="36"/>
      <x:c r="N76" s="36"/>
      <x:c r="O76" s="36"/>
      <x:c r="P76" s="36"/>
      <x:c r="Q76" s="36"/>
    </x:row>
    <x:row r="77" ht="15" hidden="0" customHeight="1">
      <x:c r="A77" s="36"/>
      <x:c r="B77" s="43"/>
      <x:c r="C77" s="36"/>
      <x:c r="D77" s="36"/>
      <x:c r="E77" s="36"/>
      <x:c r="F77" s="36"/>
      <x:c r="G77" s="39"/>
      <x:c r="H77" s="39"/>
      <x:c r="I77" s="39"/>
      <x:c r="J77" s="36" t="str">
        <x:f>IF(OR(I77="",G77="",H77=""),"",IF(AND(I77&gt;=G77,I77&lt;=H77),"Within Range","Out of Range"))</x:f>
      </x:c>
      <x:c r="K77" s="36" t="str">
        <x:f>IF(J77="","",IF(I77&lt;G77,"Below Min",IF(I77&gt;H77,"Above Max","None")))</x:f>
      </x:c>
      <x:c r="L77" s="36" t="str">
        <x:f>IF(J77="","",IF(J77="Out of Range","Yes","No"))</x:f>
      </x:c>
      <x:c r="M77" s="36"/>
      <x:c r="N77" s="36"/>
      <x:c r="O77" s="36"/>
      <x:c r="P77" s="36"/>
      <x:c r="Q77" s="36"/>
    </x:row>
    <x:row r="78" ht="15" hidden="0" customHeight="1">
      <x:c r="A78" s="36"/>
      <x:c r="B78" s="43"/>
      <x:c r="C78" s="36"/>
      <x:c r="D78" s="36"/>
      <x:c r="E78" s="36"/>
      <x:c r="F78" s="36"/>
      <x:c r="G78" s="39"/>
      <x:c r="H78" s="39"/>
      <x:c r="I78" s="39"/>
      <x:c r="J78" s="36" t="str">
        <x:f>IF(OR(I78="",G78="",H78=""),"",IF(AND(I78&gt;=G78,I78&lt;=H78),"Within Range","Out of Range"))</x:f>
      </x:c>
      <x:c r="K78" s="36" t="str">
        <x:f>IF(J78="","",IF(I78&lt;G78,"Below Min",IF(I78&gt;H78,"Above Max","None")))</x:f>
      </x:c>
      <x:c r="L78" s="36" t="str">
        <x:f>IF(J78="","",IF(J78="Out of Range","Yes","No"))</x:f>
      </x:c>
      <x:c r="M78" s="36"/>
      <x:c r="N78" s="36"/>
      <x:c r="O78" s="36"/>
      <x:c r="P78" s="36"/>
      <x:c r="Q78" s="36"/>
    </x:row>
    <x:row r="79" ht="15" hidden="0" customHeight="1">
      <x:c r="A79" s="36"/>
      <x:c r="B79" s="43"/>
      <x:c r="C79" s="36"/>
      <x:c r="D79" s="36"/>
      <x:c r="E79" s="36"/>
      <x:c r="F79" s="36"/>
      <x:c r="G79" s="39"/>
      <x:c r="H79" s="39"/>
      <x:c r="I79" s="39"/>
      <x:c r="J79" s="36" t="str">
        <x:f>IF(OR(I79="",G79="",H79=""),"",IF(AND(I79&gt;=G79,I79&lt;=H79),"Within Range","Out of Range"))</x:f>
      </x:c>
      <x:c r="K79" s="36" t="str">
        <x:f>IF(J79="","",IF(I79&lt;G79,"Below Min",IF(I79&gt;H79,"Above Max","None")))</x:f>
      </x:c>
      <x:c r="L79" s="36" t="str">
        <x:f>IF(J79="","",IF(J79="Out of Range","Yes","No"))</x:f>
      </x:c>
      <x:c r="M79" s="36"/>
      <x:c r="N79" s="36"/>
      <x:c r="O79" s="36"/>
      <x:c r="P79" s="36"/>
      <x:c r="Q79" s="36"/>
    </x:row>
    <x:row r="80" ht="15" hidden="0" customHeight="1">
      <x:c r="A80" s="36"/>
      <x:c r="B80" s="43"/>
      <x:c r="C80" s="36"/>
      <x:c r="D80" s="36"/>
      <x:c r="E80" s="36"/>
      <x:c r="F80" s="36"/>
      <x:c r="G80" s="39"/>
      <x:c r="H80" s="39"/>
      <x:c r="I80" s="39"/>
      <x:c r="J80" s="36" t="str">
        <x:f>IF(OR(I80="",G80="",H80=""),"",IF(AND(I80&gt;=G80,I80&lt;=H80),"Within Range","Out of Range"))</x:f>
      </x:c>
      <x:c r="K80" s="36" t="str">
        <x:f>IF(J80="","",IF(I80&lt;G80,"Below Min",IF(I80&gt;H80,"Above Max","None")))</x:f>
      </x:c>
      <x:c r="L80" s="36" t="str">
        <x:f>IF(J80="","",IF(J80="Out of Range","Yes","No"))</x:f>
      </x:c>
      <x:c r="M80" s="36"/>
      <x:c r="N80" s="36"/>
      <x:c r="O80" s="36"/>
      <x:c r="P80" s="36"/>
      <x:c r="Q80" s="36"/>
    </x:row>
    <x:row r="81" ht="15" hidden="0" customHeight="1">
      <x:c r="A81" s="36"/>
      <x:c r="B81" s="43"/>
      <x:c r="C81" s="36"/>
      <x:c r="D81" s="36"/>
      <x:c r="E81" s="36"/>
      <x:c r="F81" s="36"/>
      <x:c r="G81" s="39"/>
      <x:c r="H81" s="39"/>
      <x:c r="I81" s="39"/>
      <x:c r="J81" s="36" t="str">
        <x:f>IF(OR(I81="",G81="",H81=""),"",IF(AND(I81&gt;=G81,I81&lt;=H81),"Within Range","Out of Range"))</x:f>
      </x:c>
      <x:c r="K81" s="36" t="str">
        <x:f>IF(J81="","",IF(I81&lt;G81,"Below Min",IF(I81&gt;H81,"Above Max","None")))</x:f>
      </x:c>
      <x:c r="L81" s="36" t="str">
        <x:f>IF(J81="","",IF(J81="Out of Range","Yes","No"))</x:f>
      </x:c>
      <x:c r="M81" s="36"/>
      <x:c r="N81" s="36"/>
      <x:c r="O81" s="36"/>
      <x:c r="P81" s="36"/>
      <x:c r="Q81" s="36"/>
    </x:row>
    <x:row r="82" ht="15" hidden="0" customHeight="1">
      <x:c r="A82" s="36"/>
      <x:c r="B82" s="43"/>
      <x:c r="C82" s="36"/>
      <x:c r="D82" s="36"/>
      <x:c r="E82" s="36"/>
      <x:c r="F82" s="36"/>
      <x:c r="G82" s="39"/>
      <x:c r="H82" s="39"/>
      <x:c r="I82" s="39"/>
      <x:c r="J82" s="36" t="str">
        <x:f>IF(OR(I82="",G82="",H82=""),"",IF(AND(I82&gt;=G82,I82&lt;=H82),"Within Range","Out of Range"))</x:f>
      </x:c>
      <x:c r="K82" s="36" t="str">
        <x:f>IF(J82="","",IF(I82&lt;G82,"Below Min",IF(I82&gt;H82,"Above Max","None")))</x:f>
      </x:c>
      <x:c r="L82" s="36" t="str">
        <x:f>IF(J82="","",IF(J82="Out of Range","Yes","No"))</x:f>
      </x:c>
      <x:c r="M82" s="36"/>
      <x:c r="N82" s="36"/>
      <x:c r="O82" s="36"/>
      <x:c r="P82" s="36"/>
      <x:c r="Q82" s="36"/>
    </x:row>
    <x:row r="83" ht="15" hidden="0" customHeight="1">
      <x:c r="A83" s="36"/>
      <x:c r="B83" s="43"/>
      <x:c r="C83" s="36"/>
      <x:c r="D83" s="36"/>
      <x:c r="E83" s="36"/>
      <x:c r="F83" s="36"/>
      <x:c r="G83" s="39"/>
      <x:c r="H83" s="39"/>
      <x:c r="I83" s="39"/>
      <x:c r="J83" s="36" t="str">
        <x:f>IF(OR(I83="",G83="",H83=""),"",IF(AND(I83&gt;=G83,I83&lt;=H83),"Within Range","Out of Range"))</x:f>
      </x:c>
      <x:c r="K83" s="36" t="str">
        <x:f>IF(J83="","",IF(I83&lt;G83,"Below Min",IF(I83&gt;H83,"Above Max","None")))</x:f>
      </x:c>
      <x:c r="L83" s="36" t="str">
        <x:f>IF(J83="","",IF(J83="Out of Range","Yes","No"))</x:f>
      </x:c>
      <x:c r="M83" s="36"/>
      <x:c r="N83" s="36"/>
      <x:c r="O83" s="36"/>
      <x:c r="P83" s="36"/>
      <x:c r="Q83" s="36"/>
    </x:row>
    <x:row r="84" ht="15" hidden="0" customHeight="1">
      <x:c r="A84" s="36"/>
      <x:c r="B84" s="43"/>
      <x:c r="C84" s="36"/>
      <x:c r="D84" s="36"/>
      <x:c r="E84" s="36"/>
      <x:c r="F84" s="36"/>
      <x:c r="G84" s="39"/>
      <x:c r="H84" s="39"/>
      <x:c r="I84" s="39"/>
      <x:c r="J84" s="36" t="str">
        <x:f>IF(OR(I84="",G84="",H84=""),"",IF(AND(I84&gt;=G84,I84&lt;=H84),"Within Range","Out of Range"))</x:f>
      </x:c>
      <x:c r="K84" s="36" t="str">
        <x:f>IF(J84="","",IF(I84&lt;G84,"Below Min",IF(I84&gt;H84,"Above Max","None")))</x:f>
      </x:c>
      <x:c r="L84" s="36" t="str">
        <x:f>IF(J84="","",IF(J84="Out of Range","Yes","No"))</x:f>
      </x:c>
      <x:c r="M84" s="36"/>
      <x:c r="N84" s="36"/>
      <x:c r="O84" s="36"/>
      <x:c r="P84" s="36"/>
      <x:c r="Q84" s="36"/>
    </x:row>
    <x:row r="85" ht="15" hidden="0" customHeight="1">
      <x:c r="A85" s="36"/>
      <x:c r="B85" s="43"/>
      <x:c r="C85" s="36"/>
      <x:c r="D85" s="36"/>
      <x:c r="E85" s="36"/>
      <x:c r="F85" s="36"/>
      <x:c r="G85" s="39"/>
      <x:c r="H85" s="39"/>
      <x:c r="I85" s="39"/>
      <x:c r="J85" s="36" t="str">
        <x:f>IF(OR(I85="",G85="",H85=""),"",IF(AND(I85&gt;=G85,I85&lt;=H85),"Within Range","Out of Range"))</x:f>
      </x:c>
      <x:c r="K85" s="36" t="str">
        <x:f>IF(J85="","",IF(I85&lt;G85,"Below Min",IF(I85&gt;H85,"Above Max","None")))</x:f>
      </x:c>
      <x:c r="L85" s="36" t="str">
        <x:f>IF(J85="","",IF(J85="Out of Range","Yes","No"))</x:f>
      </x:c>
      <x:c r="M85" s="36"/>
      <x:c r="N85" s="36"/>
      <x:c r="O85" s="36"/>
      <x:c r="P85" s="36"/>
      <x:c r="Q85" s="36"/>
    </x:row>
    <x:row r="86" ht="15" hidden="0" customHeight="1">
      <x:c r="A86" s="36"/>
      <x:c r="B86" s="43"/>
      <x:c r="C86" s="36"/>
      <x:c r="D86" s="36"/>
      <x:c r="E86" s="36"/>
      <x:c r="F86" s="36"/>
      <x:c r="G86" s="39"/>
      <x:c r="H86" s="39"/>
      <x:c r="I86" s="39"/>
      <x:c r="J86" s="36" t="str">
        <x:f>IF(OR(I86="",G86="",H86=""),"",IF(AND(I86&gt;=G86,I86&lt;=H86),"Within Range","Out of Range"))</x:f>
      </x:c>
      <x:c r="K86" s="36" t="str">
        <x:f>IF(J86="","",IF(I86&lt;G86,"Below Min",IF(I86&gt;H86,"Above Max","None")))</x:f>
      </x:c>
      <x:c r="L86" s="36" t="str">
        <x:f>IF(J86="","",IF(J86="Out of Range","Yes","No"))</x:f>
      </x:c>
      <x:c r="M86" s="36"/>
      <x:c r="N86" s="36"/>
      <x:c r="O86" s="36"/>
      <x:c r="P86" s="36"/>
      <x:c r="Q86" s="36"/>
    </x:row>
    <x:row r="87" ht="15" hidden="0" customHeight="1">
      <x:c r="A87" s="36"/>
      <x:c r="B87" s="43"/>
      <x:c r="C87" s="36"/>
      <x:c r="D87" s="36"/>
      <x:c r="E87" s="36"/>
      <x:c r="F87" s="36"/>
      <x:c r="G87" s="39"/>
      <x:c r="H87" s="39"/>
      <x:c r="I87" s="39"/>
      <x:c r="J87" s="36" t="str">
        <x:f>IF(OR(I87="",G87="",H87=""),"",IF(AND(I87&gt;=G87,I87&lt;=H87),"Within Range","Out of Range"))</x:f>
      </x:c>
      <x:c r="K87" s="36" t="str">
        <x:f>IF(J87="","",IF(I87&lt;G87,"Below Min",IF(I87&gt;H87,"Above Max","None")))</x:f>
      </x:c>
      <x:c r="L87" s="36" t="str">
        <x:f>IF(J87="","",IF(J87="Out of Range","Yes","No"))</x:f>
      </x:c>
      <x:c r="M87" s="36"/>
      <x:c r="N87" s="36"/>
      <x:c r="O87" s="36"/>
      <x:c r="P87" s="36"/>
      <x:c r="Q87" s="36"/>
    </x:row>
    <x:row r="88" ht="15" hidden="0" customHeight="1">
      <x:c r="A88" s="36"/>
      <x:c r="B88" s="43"/>
      <x:c r="C88" s="36"/>
      <x:c r="D88" s="36"/>
      <x:c r="E88" s="36"/>
      <x:c r="F88" s="36"/>
      <x:c r="G88" s="39"/>
      <x:c r="H88" s="39"/>
      <x:c r="I88" s="39"/>
      <x:c r="J88" s="36" t="str">
        <x:f>IF(OR(I88="",G88="",H88=""),"",IF(AND(I88&gt;=G88,I88&lt;=H88),"Within Range","Out of Range"))</x:f>
      </x:c>
      <x:c r="K88" s="36" t="str">
        <x:f>IF(J88="","",IF(I88&lt;G88,"Below Min",IF(I88&gt;H88,"Above Max","None")))</x:f>
      </x:c>
      <x:c r="L88" s="36" t="str">
        <x:f>IF(J88="","",IF(J88="Out of Range","Yes","No"))</x:f>
      </x:c>
      <x:c r="M88" s="36"/>
      <x:c r="N88" s="36"/>
      <x:c r="O88" s="36"/>
      <x:c r="P88" s="36"/>
      <x:c r="Q88" s="36"/>
    </x:row>
    <x:row r="89" ht="15" hidden="0" customHeight="1">
      <x:c r="A89" s="36"/>
      <x:c r="B89" s="43"/>
      <x:c r="C89" s="36"/>
      <x:c r="D89" s="36"/>
      <x:c r="E89" s="36"/>
      <x:c r="F89" s="36"/>
      <x:c r="G89" s="39"/>
      <x:c r="H89" s="39"/>
      <x:c r="I89" s="39"/>
      <x:c r="J89" s="36" t="str">
        <x:f>IF(OR(I89="",G89="",H89=""),"",IF(AND(I89&gt;=G89,I89&lt;=H89),"Within Range","Out of Range"))</x:f>
      </x:c>
      <x:c r="K89" s="36" t="str">
        <x:f>IF(J89="","",IF(I89&lt;G89,"Below Min",IF(I89&gt;H89,"Above Max","None")))</x:f>
      </x:c>
      <x:c r="L89" s="36" t="str">
        <x:f>IF(J89="","",IF(J89="Out of Range","Yes","No"))</x:f>
      </x:c>
      <x:c r="M89" s="36"/>
      <x:c r="N89" s="36"/>
      <x:c r="O89" s="36"/>
      <x:c r="P89" s="36"/>
      <x:c r="Q89" s="36"/>
    </x:row>
    <x:row r="90" ht="15" hidden="0" customHeight="1">
      <x:c r="A90" s="36"/>
      <x:c r="B90" s="43"/>
      <x:c r="C90" s="36"/>
      <x:c r="D90" s="36"/>
      <x:c r="E90" s="36"/>
      <x:c r="F90" s="36"/>
      <x:c r="G90" s="39"/>
      <x:c r="H90" s="39"/>
      <x:c r="I90" s="39"/>
      <x:c r="J90" s="36" t="str">
        <x:f>IF(OR(I90="",G90="",H90=""),"",IF(AND(I90&gt;=G90,I90&lt;=H90),"Within Range","Out of Range"))</x:f>
      </x:c>
      <x:c r="K90" s="36" t="str">
        <x:f>IF(J90="","",IF(I90&lt;G90,"Below Min",IF(I90&gt;H90,"Above Max","None")))</x:f>
      </x:c>
      <x:c r="L90" s="36" t="str">
        <x:f>IF(J90="","",IF(J90="Out of Range","Yes","No"))</x:f>
      </x:c>
      <x:c r="M90" s="36"/>
      <x:c r="N90" s="36"/>
      <x:c r="O90" s="36"/>
      <x:c r="P90" s="36"/>
      <x:c r="Q90" s="36"/>
    </x:row>
    <x:row r="91" ht="15" hidden="0" customHeight="1">
      <x:c r="A91" s="36"/>
      <x:c r="B91" s="43"/>
      <x:c r="C91" s="36"/>
      <x:c r="D91" s="36"/>
      <x:c r="E91" s="36"/>
      <x:c r="F91" s="36"/>
      <x:c r="G91" s="39"/>
      <x:c r="H91" s="39"/>
      <x:c r="I91" s="39"/>
      <x:c r="J91" s="36" t="str">
        <x:f>IF(OR(I91="",G91="",H91=""),"",IF(AND(I91&gt;=G91,I91&lt;=H91),"Within Range","Out of Range"))</x:f>
      </x:c>
      <x:c r="K91" s="36" t="str">
        <x:f>IF(J91="","",IF(I91&lt;G91,"Below Min",IF(I91&gt;H91,"Above Max","None")))</x:f>
      </x:c>
      <x:c r="L91" s="36" t="str">
        <x:f>IF(J91="","",IF(J91="Out of Range","Yes","No"))</x:f>
      </x:c>
      <x:c r="M91" s="36"/>
      <x:c r="N91" s="36"/>
      <x:c r="O91" s="36"/>
      <x:c r="P91" s="36"/>
      <x:c r="Q91" s="36"/>
    </x:row>
    <x:row r="92" ht="15" hidden="0" customHeight="1">
      <x:c r="A92" s="36"/>
      <x:c r="B92" s="43"/>
      <x:c r="C92" s="36"/>
      <x:c r="D92" s="36"/>
      <x:c r="E92" s="36"/>
      <x:c r="F92" s="36"/>
      <x:c r="G92" s="39"/>
      <x:c r="H92" s="39"/>
      <x:c r="I92" s="39"/>
      <x:c r="J92" s="36" t="str">
        <x:f>IF(OR(I92="",G92="",H92=""),"",IF(AND(I92&gt;=G92,I92&lt;=H92),"Within Range","Out of Range"))</x:f>
      </x:c>
      <x:c r="K92" s="36" t="str">
        <x:f>IF(J92="","",IF(I92&lt;G92,"Below Min",IF(I92&gt;H92,"Above Max","None")))</x:f>
      </x:c>
      <x:c r="L92" s="36" t="str">
        <x:f>IF(J92="","",IF(J92="Out of Range","Yes","No"))</x:f>
      </x:c>
      <x:c r="M92" s="36"/>
      <x:c r="N92" s="36"/>
      <x:c r="O92" s="36"/>
      <x:c r="P92" s="36"/>
      <x:c r="Q92" s="36"/>
    </x:row>
    <x:row r="93" ht="15" hidden="0" customHeight="1">
      <x:c r="A93" s="36"/>
      <x:c r="B93" s="43"/>
      <x:c r="C93" s="36"/>
      <x:c r="D93" s="36"/>
      <x:c r="E93" s="36"/>
      <x:c r="F93" s="36"/>
      <x:c r="G93" s="39"/>
      <x:c r="H93" s="39"/>
      <x:c r="I93" s="39"/>
      <x:c r="J93" s="36" t="str">
        <x:f>IF(OR(I93="",G93="",H93=""),"",IF(AND(I93&gt;=G93,I93&lt;=H93),"Within Range","Out of Range"))</x:f>
      </x:c>
      <x:c r="K93" s="36" t="str">
        <x:f>IF(J93="","",IF(I93&lt;G93,"Below Min",IF(I93&gt;H93,"Above Max","None")))</x:f>
      </x:c>
      <x:c r="L93" s="36" t="str">
        <x:f>IF(J93="","",IF(J93="Out of Range","Yes","No"))</x:f>
      </x:c>
      <x:c r="M93" s="36"/>
      <x:c r="N93" s="36"/>
      <x:c r="O93" s="36"/>
      <x:c r="P93" s="36"/>
      <x:c r="Q93" s="36"/>
    </x:row>
    <x:row r="94" ht="15" hidden="0" customHeight="1">
      <x:c r="A94" s="36"/>
      <x:c r="B94" s="43"/>
      <x:c r="C94" s="36"/>
      <x:c r="D94" s="36"/>
      <x:c r="E94" s="36"/>
      <x:c r="F94" s="36"/>
      <x:c r="G94" s="39"/>
      <x:c r="H94" s="39"/>
      <x:c r="I94" s="39"/>
      <x:c r="J94" s="36" t="str">
        <x:f>IF(OR(I94="",G94="",H94=""),"",IF(AND(I94&gt;=G94,I94&lt;=H94),"Within Range","Out of Range"))</x:f>
      </x:c>
      <x:c r="K94" s="36" t="str">
        <x:f>IF(J94="","",IF(I94&lt;G94,"Below Min",IF(I94&gt;H94,"Above Max","None")))</x:f>
      </x:c>
      <x:c r="L94" s="36" t="str">
        <x:f>IF(J94="","",IF(J94="Out of Range","Yes","No"))</x:f>
      </x:c>
      <x:c r="M94" s="36"/>
      <x:c r="N94" s="36"/>
      <x:c r="O94" s="36"/>
      <x:c r="P94" s="36"/>
      <x:c r="Q94" s="36"/>
    </x:row>
    <x:row r="95" ht="15" hidden="0" customHeight="1">
      <x:c r="A95" s="36"/>
      <x:c r="B95" s="43"/>
      <x:c r="C95" s="36"/>
      <x:c r="D95" s="36"/>
      <x:c r="E95" s="36"/>
      <x:c r="F95" s="36"/>
      <x:c r="G95" s="39"/>
      <x:c r="H95" s="39"/>
      <x:c r="I95" s="39"/>
      <x:c r="J95" s="36" t="str">
        <x:f>IF(OR(I95="",G95="",H95=""),"",IF(AND(I95&gt;=G95,I95&lt;=H95),"Within Range","Out of Range"))</x:f>
      </x:c>
      <x:c r="K95" s="36" t="str">
        <x:f>IF(J95="","",IF(I95&lt;G95,"Below Min",IF(I95&gt;H95,"Above Max","None")))</x:f>
      </x:c>
      <x:c r="L95" s="36" t="str">
        <x:f>IF(J95="","",IF(J95="Out of Range","Yes","No"))</x:f>
      </x:c>
      <x:c r="M95" s="36"/>
      <x:c r="N95" s="36"/>
      <x:c r="O95" s="36"/>
      <x:c r="P95" s="36"/>
      <x:c r="Q95" s="36"/>
    </x:row>
    <x:row r="96" ht="15" hidden="0" customHeight="1">
      <x:c r="A96" s="36"/>
      <x:c r="B96" s="43"/>
      <x:c r="C96" s="36"/>
      <x:c r="D96" s="36"/>
      <x:c r="E96" s="36"/>
      <x:c r="F96" s="36"/>
      <x:c r="G96" s="39"/>
      <x:c r="H96" s="39"/>
      <x:c r="I96" s="39"/>
      <x:c r="J96" s="36" t="str">
        <x:f>IF(OR(I96="",G96="",H96=""),"",IF(AND(I96&gt;=G96,I96&lt;=H96),"Within Range","Out of Range"))</x:f>
      </x:c>
      <x:c r="K96" s="36" t="str">
        <x:f>IF(J96="","",IF(I96&lt;G96,"Below Min",IF(I96&gt;H96,"Above Max","None")))</x:f>
      </x:c>
      <x:c r="L96" s="36" t="str">
        <x:f>IF(J96="","",IF(J96="Out of Range","Yes","No"))</x:f>
      </x:c>
      <x:c r="M96" s="36"/>
      <x:c r="N96" s="36"/>
      <x:c r="O96" s="36"/>
      <x:c r="P96" s="36"/>
      <x:c r="Q96" s="36"/>
    </x:row>
    <x:row r="97" ht="15" hidden="0" customHeight="1">
      <x:c r="A97" s="36"/>
      <x:c r="B97" s="43"/>
      <x:c r="C97" s="36"/>
      <x:c r="D97" s="36"/>
      <x:c r="E97" s="36"/>
      <x:c r="F97" s="36"/>
      <x:c r="G97" s="39"/>
      <x:c r="H97" s="39"/>
      <x:c r="I97" s="39"/>
      <x:c r="J97" s="36" t="str">
        <x:f>IF(OR(I97="",G97="",H97=""),"",IF(AND(I97&gt;=G97,I97&lt;=H97),"Within Range","Out of Range"))</x:f>
      </x:c>
      <x:c r="K97" s="36" t="str">
        <x:f>IF(J97="","",IF(I97&lt;G97,"Below Min",IF(I97&gt;H97,"Above Max","None")))</x:f>
      </x:c>
      <x:c r="L97" s="36" t="str">
        <x:f>IF(J97="","",IF(J97="Out of Range","Yes","No"))</x:f>
      </x:c>
      <x:c r="M97" s="36"/>
      <x:c r="N97" s="36"/>
      <x:c r="O97" s="36"/>
      <x:c r="P97" s="36"/>
      <x:c r="Q97" s="36"/>
    </x:row>
    <x:row r="98" ht="15" hidden="0" customHeight="1">
      <x:c r="A98" s="36"/>
      <x:c r="B98" s="43"/>
      <x:c r="C98" s="36"/>
      <x:c r="D98" s="36"/>
      <x:c r="E98" s="36"/>
      <x:c r="F98" s="36"/>
      <x:c r="G98" s="39"/>
      <x:c r="H98" s="39"/>
      <x:c r="I98" s="39"/>
      <x:c r="J98" s="36" t="str">
        <x:f>IF(OR(I98="",G98="",H98=""),"",IF(AND(I98&gt;=G98,I98&lt;=H98),"Within Range","Out of Range"))</x:f>
      </x:c>
      <x:c r="K98" s="36" t="str">
        <x:f>IF(J98="","",IF(I98&lt;G98,"Below Min",IF(I98&gt;H98,"Above Max","None")))</x:f>
      </x:c>
      <x:c r="L98" s="36" t="str">
        <x:f>IF(J98="","",IF(J98="Out of Range","Yes","No"))</x:f>
      </x:c>
      <x:c r="M98" s="36"/>
      <x:c r="N98" s="36"/>
      <x:c r="O98" s="36"/>
      <x:c r="P98" s="36"/>
      <x:c r="Q98" s="36"/>
    </x:row>
    <x:row r="99" ht="15" hidden="0" customHeight="1">
      <x:c r="A99" s="36"/>
      <x:c r="B99" s="43"/>
      <x:c r="C99" s="36"/>
      <x:c r="D99" s="36"/>
      <x:c r="E99" s="36"/>
      <x:c r="F99" s="36"/>
      <x:c r="G99" s="39"/>
      <x:c r="H99" s="39"/>
      <x:c r="I99" s="39"/>
      <x:c r="J99" s="36" t="str">
        <x:f>IF(OR(I99="",G99="",H99=""),"",IF(AND(I99&gt;=G99,I99&lt;=H99),"Within Range","Out of Range"))</x:f>
      </x:c>
      <x:c r="K99" s="36" t="str">
        <x:f>IF(J99="","",IF(I99&lt;G99,"Below Min",IF(I99&gt;H99,"Above Max","None")))</x:f>
      </x:c>
      <x:c r="L99" s="36" t="str">
        <x:f>IF(J99="","",IF(J99="Out of Range","Yes","No"))</x:f>
      </x:c>
      <x:c r="M99" s="36"/>
      <x:c r="N99" s="36"/>
      <x:c r="O99" s="36"/>
      <x:c r="P99" s="36"/>
      <x:c r="Q99" s="36"/>
    </x:row>
    <x:row r="100" ht="15" hidden="0" customHeight="1">
      <x:c r="A100" s="36"/>
      <x:c r="B100" s="43"/>
      <x:c r="C100" s="36"/>
      <x:c r="D100" s="36"/>
      <x:c r="E100" s="36"/>
      <x:c r="F100" s="36"/>
      <x:c r="G100" s="39"/>
      <x:c r="H100" s="39"/>
      <x:c r="I100" s="39"/>
      <x:c r="J100" s="36" t="str">
        <x:f>IF(OR(I100="",G100="",H100=""),"",IF(AND(I100&gt;=G100,I100&lt;=H100),"Within Range","Out of Range"))</x:f>
      </x:c>
      <x:c r="K100" s="36" t="str">
        <x:f>IF(J100="","",IF(I100&lt;G100,"Below Min",IF(I100&gt;H100,"Above Max","None")))</x:f>
      </x:c>
      <x:c r="L100" s="36" t="str">
        <x:f>IF(J100="","",IF(J100="Out of Range","Yes","No"))</x:f>
      </x:c>
      <x:c r="M100" s="36"/>
      <x:c r="N100" s="36"/>
      <x:c r="O100" s="36"/>
      <x:c r="P100" s="36"/>
      <x:c r="Q100" s="36"/>
    </x:row>
    <x:row r="101" ht="15" hidden="0" customHeight="1">
      <x:c r="A101" s="36"/>
      <x:c r="B101" s="43"/>
      <x:c r="C101" s="36"/>
      <x:c r="D101" s="36"/>
      <x:c r="E101" s="36"/>
      <x:c r="F101" s="36"/>
      <x:c r="G101" s="39"/>
      <x:c r="H101" s="39"/>
      <x:c r="I101" s="39"/>
      <x:c r="J101" s="36" t="str">
        <x:f>IF(OR(I101="",G101="",H101=""),"",IF(AND(I101&gt;=G101,I101&lt;=H101),"Within Range","Out of Range"))</x:f>
      </x:c>
      <x:c r="K101" s="36" t="str">
        <x:f>IF(J101="","",IF(I101&lt;G101,"Below Min",IF(I101&gt;H101,"Above Max","None")))</x:f>
      </x:c>
      <x:c r="L101" s="36" t="str">
        <x:f>IF(J101="","",IF(J101="Out of Range","Yes","No"))</x:f>
      </x:c>
      <x:c r="M101" s="36"/>
      <x:c r="N101" s="36"/>
      <x:c r="O101" s="36"/>
      <x:c r="P101" s="36"/>
      <x:c r="Q101" s="36"/>
    </x:row>
    <x:row r="102" ht="15" hidden="0" customHeight="1">
      <x:c r="A102" s="36"/>
      <x:c r="B102" s="43"/>
      <x:c r="C102" s="36"/>
      <x:c r="D102" s="36"/>
      <x:c r="E102" s="36"/>
      <x:c r="F102" s="36"/>
      <x:c r="G102" s="39"/>
      <x:c r="H102" s="39"/>
      <x:c r="I102" s="39"/>
      <x:c r="J102" s="36" t="str">
        <x:f>IF(OR(I102="",G102="",H102=""),"",IF(AND(I102&gt;=G102,I102&lt;=H102),"Within Range","Out of Range"))</x:f>
      </x:c>
      <x:c r="K102" s="36" t="str">
        <x:f>IF(J102="","",IF(I102&lt;G102,"Below Min",IF(I102&gt;H102,"Above Max","None")))</x:f>
      </x:c>
      <x:c r="L102" s="36" t="str">
        <x:f>IF(J102="","",IF(J102="Out of Range","Yes","No"))</x:f>
      </x:c>
      <x:c r="M102" s="36"/>
      <x:c r="N102" s="36"/>
      <x:c r="O102" s="36"/>
      <x:c r="P102" s="36"/>
      <x:c r="Q102" s="36"/>
    </x:row>
    <x:row r="103" ht="15" hidden="0" customHeight="1">
      <x:c r="A103" s="36"/>
      <x:c r="B103" s="43"/>
      <x:c r="C103" s="36"/>
      <x:c r="D103" s="36"/>
      <x:c r="E103" s="36"/>
      <x:c r="F103" s="36"/>
      <x:c r="G103" s="39"/>
      <x:c r="H103" s="39"/>
      <x:c r="I103" s="39"/>
      <x:c r="J103" s="36" t="str">
        <x:f>IF(OR(I103="",G103="",H103=""),"",IF(AND(I103&gt;=G103,I103&lt;=H103),"Within Range","Out of Range"))</x:f>
      </x:c>
      <x:c r="K103" s="36" t="str">
        <x:f>IF(J103="","",IF(I103&lt;G103,"Below Min",IF(I103&gt;H103,"Above Max","None")))</x:f>
      </x:c>
      <x:c r="L103" s="36" t="str">
        <x:f>IF(J103="","",IF(J103="Out of Range","Yes","No"))</x:f>
      </x:c>
      <x:c r="M103" s="36"/>
      <x:c r="N103" s="36"/>
      <x:c r="O103" s="36"/>
      <x:c r="P103" s="36"/>
      <x:c r="Q103" s="36"/>
    </x:row>
    <x:row r="104" ht="15" hidden="0" customHeight="1">
      <x:c r="A104" s="36"/>
      <x:c r="B104" s="43"/>
      <x:c r="C104" s="36"/>
      <x:c r="D104" s="36"/>
      <x:c r="E104" s="36"/>
      <x:c r="F104" s="36"/>
      <x:c r="G104" s="39"/>
      <x:c r="H104" s="39"/>
      <x:c r="I104" s="39"/>
      <x:c r="J104" s="36" t="str">
        <x:f>IF(OR(I104="",G104="",H104=""),"",IF(AND(I104&gt;=G104,I104&lt;=H104),"Within Range","Out of Range"))</x:f>
      </x:c>
      <x:c r="K104" s="36" t="str">
        <x:f>IF(J104="","",IF(I104&lt;G104,"Below Min",IF(I104&gt;H104,"Above Max","None")))</x:f>
      </x:c>
      <x:c r="L104" s="36" t="str">
        <x:f>IF(J104="","",IF(J104="Out of Range","Yes","No"))</x:f>
      </x:c>
      <x:c r="M104" s="36"/>
      <x:c r="N104" s="36"/>
      <x:c r="O104" s="36"/>
      <x:c r="P104" s="36"/>
      <x:c r="Q104" s="36"/>
    </x:row>
    <x:row r="105" ht="15" hidden="0" customHeight="1">
      <x:c r="A105" s="36"/>
      <x:c r="B105" s="43"/>
      <x:c r="C105" s="36"/>
      <x:c r="D105" s="36"/>
      <x:c r="E105" s="36"/>
      <x:c r="F105" s="36"/>
      <x:c r="G105" s="39"/>
      <x:c r="H105" s="39"/>
      <x:c r="I105" s="39"/>
      <x:c r="J105" s="36" t="str">
        <x:f>IF(OR(I105="",G105="",H105=""),"",IF(AND(I105&gt;=G105,I105&lt;=H105),"Within Range","Out of Range"))</x:f>
      </x:c>
      <x:c r="K105" s="36" t="str">
        <x:f>IF(J105="","",IF(I105&lt;G105,"Below Min",IF(I105&gt;H105,"Above Max","None")))</x:f>
      </x:c>
      <x:c r="L105" s="36" t="str">
        <x:f>IF(J105="","",IF(J105="Out of Range","Yes","No"))</x:f>
      </x:c>
      <x:c r="M105" s="36"/>
      <x:c r="N105" s="36"/>
      <x:c r="O105" s="36"/>
      <x:c r="P105" s="36"/>
      <x:c r="Q105" s="36"/>
    </x:row>
    <x:row r="106" ht="15" hidden="0" customHeight="1">
      <x:c r="A106" s="36"/>
      <x:c r="B106" s="43"/>
      <x:c r="C106" s="36"/>
      <x:c r="D106" s="36"/>
      <x:c r="E106" s="36"/>
      <x:c r="F106" s="36"/>
      <x:c r="G106" s="39"/>
      <x:c r="H106" s="39"/>
      <x:c r="I106" s="39"/>
      <x:c r="J106" s="36" t="str">
        <x:f>IF(OR(I106="",G106="",H106=""),"",IF(AND(I106&gt;=G106,I106&lt;=H106),"Within Range","Out of Range"))</x:f>
      </x:c>
      <x:c r="K106" s="36" t="str">
        <x:f>IF(J106="","",IF(I106&lt;G106,"Below Min",IF(I106&gt;H106,"Above Max","None")))</x:f>
      </x:c>
      <x:c r="L106" s="36" t="str">
        <x:f>IF(J106="","",IF(J106="Out of Range","Yes","No"))</x:f>
      </x:c>
      <x:c r="M106" s="36"/>
      <x:c r="N106" s="36"/>
      <x:c r="O106" s="36"/>
      <x:c r="P106" s="36"/>
      <x:c r="Q106" s="36"/>
    </x:row>
    <x:row r="107" ht="15" hidden="0" customHeight="1">
      <x:c r="A107" s="36"/>
      <x:c r="B107" s="43"/>
      <x:c r="C107" s="36"/>
      <x:c r="D107" s="36"/>
      <x:c r="E107" s="36"/>
      <x:c r="F107" s="36"/>
      <x:c r="G107" s="39"/>
      <x:c r="H107" s="39"/>
      <x:c r="I107" s="39"/>
      <x:c r="J107" s="36" t="str">
        <x:f>IF(OR(I107="",G107="",H107=""),"",IF(AND(I107&gt;=G107,I107&lt;=H107),"Within Range","Out of Range"))</x:f>
      </x:c>
      <x:c r="K107" s="36" t="str">
        <x:f>IF(J107="","",IF(I107&lt;G107,"Below Min",IF(I107&gt;H107,"Above Max","None")))</x:f>
      </x:c>
      <x:c r="L107" s="36" t="str">
        <x:f>IF(J107="","",IF(J107="Out of Range","Yes","No"))</x:f>
      </x:c>
      <x:c r="M107" s="36"/>
      <x:c r="N107" s="36"/>
      <x:c r="O107" s="36"/>
      <x:c r="P107" s="36"/>
      <x:c r="Q107" s="36"/>
    </x:row>
    <x:row r="108" ht="15" hidden="0" customHeight="1">
      <x:c r="A108" s="36"/>
      <x:c r="B108" s="43"/>
      <x:c r="C108" s="36"/>
      <x:c r="D108" s="36"/>
      <x:c r="E108" s="36"/>
      <x:c r="F108" s="36"/>
      <x:c r="G108" s="39"/>
      <x:c r="H108" s="39"/>
      <x:c r="I108" s="39"/>
      <x:c r="J108" s="36" t="str">
        <x:f>IF(OR(I108="",G108="",H108=""),"",IF(AND(I108&gt;=G108,I108&lt;=H108),"Within Range","Out of Range"))</x:f>
      </x:c>
      <x:c r="K108" s="36" t="str">
        <x:f>IF(J108="","",IF(I108&lt;G108,"Below Min",IF(I108&gt;H108,"Above Max","None")))</x:f>
      </x:c>
      <x:c r="L108" s="36" t="str">
        <x:f>IF(J108="","",IF(J108="Out of Range","Yes","No"))</x:f>
      </x:c>
      <x:c r="M108" s="36"/>
      <x:c r="N108" s="36"/>
      <x:c r="O108" s="36"/>
      <x:c r="P108" s="36"/>
      <x:c r="Q108" s="36"/>
    </x:row>
    <x:row r="109" ht="15" hidden="0" customHeight="1">
      <x:c r="A109" s="36"/>
      <x:c r="B109" s="43"/>
      <x:c r="C109" s="36"/>
      <x:c r="D109" s="36"/>
      <x:c r="E109" s="36"/>
      <x:c r="F109" s="36"/>
      <x:c r="G109" s="39"/>
      <x:c r="H109" s="39"/>
      <x:c r="I109" s="39"/>
      <x:c r="J109" s="36" t="str">
        <x:f>IF(OR(I109="",G109="",H109=""),"",IF(AND(I109&gt;=G109,I109&lt;=H109),"Within Range","Out of Range"))</x:f>
      </x:c>
      <x:c r="K109" s="36" t="str">
        <x:f>IF(J109="","",IF(I109&lt;G109,"Below Min",IF(I109&gt;H109,"Above Max","None")))</x:f>
      </x:c>
      <x:c r="L109" s="36" t="str">
        <x:f>IF(J109="","",IF(J109="Out of Range","Yes","No"))</x:f>
      </x:c>
      <x:c r="M109" s="36"/>
      <x:c r="N109" s="36"/>
      <x:c r="O109" s="36"/>
      <x:c r="P109" s="36"/>
      <x:c r="Q109" s="36"/>
    </x:row>
    <x:row r="110" ht="15" hidden="0" customHeight="1">
      <x:c r="A110" s="36"/>
      <x:c r="B110" s="43"/>
      <x:c r="C110" s="36"/>
      <x:c r="D110" s="36"/>
      <x:c r="E110" s="36"/>
      <x:c r="F110" s="36"/>
      <x:c r="G110" s="39"/>
      <x:c r="H110" s="39"/>
      <x:c r="I110" s="39"/>
      <x:c r="J110" s="36" t="str">
        <x:f>IF(OR(I110="",G110="",H110=""),"",IF(AND(I110&gt;=G110,I110&lt;=H110),"Within Range","Out of Range"))</x:f>
      </x:c>
      <x:c r="K110" s="36" t="str">
        <x:f>IF(J110="","",IF(I110&lt;G110,"Below Min",IF(I110&gt;H110,"Above Max","None")))</x:f>
      </x:c>
      <x:c r="L110" s="36" t="str">
        <x:f>IF(J110="","",IF(J110="Out of Range","Yes","No"))</x:f>
      </x:c>
      <x:c r="M110" s="36"/>
      <x:c r="N110" s="36"/>
      <x:c r="O110" s="36"/>
      <x:c r="P110" s="36"/>
      <x:c r="Q110" s="36"/>
    </x:row>
    <x:row r="111" ht="15" hidden="0" customHeight="1">
      <x:c r="A111" s="36"/>
      <x:c r="B111" s="43"/>
      <x:c r="C111" s="36"/>
      <x:c r="D111" s="36"/>
      <x:c r="E111" s="36"/>
      <x:c r="F111" s="36"/>
      <x:c r="G111" s="39"/>
      <x:c r="H111" s="39"/>
      <x:c r="I111" s="39"/>
      <x:c r="J111" s="36" t="str">
        <x:f>IF(OR(I111="",G111="",H111=""),"",IF(AND(I111&gt;=G111,I111&lt;=H111),"Within Range","Out of Range"))</x:f>
      </x:c>
      <x:c r="K111" s="36" t="str">
        <x:f>IF(J111="","",IF(I111&lt;G111,"Below Min",IF(I111&gt;H111,"Above Max","None")))</x:f>
      </x:c>
      <x:c r="L111" s="36" t="str">
        <x:f>IF(J111="","",IF(J111="Out of Range","Yes","No"))</x:f>
      </x:c>
      <x:c r="M111" s="36"/>
      <x:c r="N111" s="36"/>
      <x:c r="O111" s="36"/>
      <x:c r="P111" s="36"/>
      <x:c r="Q111" s="36"/>
    </x:row>
    <x:row r="112" ht="15" hidden="0" customHeight="1">
      <x:c r="A112" s="36"/>
      <x:c r="B112" s="43"/>
      <x:c r="C112" s="36"/>
      <x:c r="D112" s="36"/>
      <x:c r="E112" s="36"/>
      <x:c r="F112" s="36"/>
      <x:c r="G112" s="39"/>
      <x:c r="H112" s="39"/>
      <x:c r="I112" s="39"/>
      <x:c r="J112" s="36" t="str">
        <x:f>IF(OR(I112="",G112="",H112=""),"",IF(AND(I112&gt;=G112,I112&lt;=H112),"Within Range","Out of Range"))</x:f>
      </x:c>
      <x:c r="K112" s="36" t="str">
        <x:f>IF(J112="","",IF(I112&lt;G112,"Below Min",IF(I112&gt;H112,"Above Max","None")))</x:f>
      </x:c>
      <x:c r="L112" s="36" t="str">
        <x:f>IF(J112="","",IF(J112="Out of Range","Yes","No"))</x:f>
      </x:c>
      <x:c r="M112" s="36"/>
      <x:c r="N112" s="36"/>
      <x:c r="O112" s="36"/>
      <x:c r="P112" s="36"/>
      <x:c r="Q112" s="36"/>
    </x:row>
    <x:row r="113" ht="15" hidden="0" customHeight="1">
      <x:c r="A113" s="36"/>
      <x:c r="B113" s="43"/>
      <x:c r="C113" s="36"/>
      <x:c r="D113" s="36"/>
      <x:c r="E113" s="36"/>
      <x:c r="F113" s="36"/>
      <x:c r="G113" s="39"/>
      <x:c r="H113" s="39"/>
      <x:c r="I113" s="39"/>
      <x:c r="J113" s="36" t="str">
        <x:f>IF(OR(I113="",G113="",H113=""),"",IF(AND(I113&gt;=G113,I113&lt;=H113),"Within Range","Out of Range"))</x:f>
      </x:c>
      <x:c r="K113" s="36" t="str">
        <x:f>IF(J113="","",IF(I113&lt;G113,"Below Min",IF(I113&gt;H113,"Above Max","None")))</x:f>
      </x:c>
      <x:c r="L113" s="36" t="str">
        <x:f>IF(J113="","",IF(J113="Out of Range","Yes","No"))</x:f>
      </x:c>
      <x:c r="M113" s="36"/>
      <x:c r="N113" s="36"/>
      <x:c r="O113" s="36"/>
      <x:c r="P113" s="36"/>
      <x:c r="Q113" s="36"/>
    </x:row>
    <x:row r="114" ht="15" hidden="0" customHeight="1">
      <x:c r="A114" s="36"/>
      <x:c r="B114" s="43"/>
      <x:c r="C114" s="36"/>
      <x:c r="D114" s="36"/>
      <x:c r="E114" s="36"/>
      <x:c r="F114" s="36"/>
      <x:c r="G114" s="39"/>
      <x:c r="H114" s="39"/>
      <x:c r="I114" s="39"/>
      <x:c r="J114" s="36" t="str">
        <x:f>IF(OR(I114="",G114="",H114=""),"",IF(AND(I114&gt;=G114,I114&lt;=H114),"Within Range","Out of Range"))</x:f>
      </x:c>
      <x:c r="K114" s="36" t="str">
        <x:f>IF(J114="","",IF(I114&lt;G114,"Below Min",IF(I114&gt;H114,"Above Max","None")))</x:f>
      </x:c>
      <x:c r="L114" s="36" t="str">
        <x:f>IF(J114="","",IF(J114="Out of Range","Yes","No"))</x:f>
      </x:c>
      <x:c r="M114" s="36"/>
      <x:c r="N114" s="36"/>
      <x:c r="O114" s="36"/>
      <x:c r="P114" s="36"/>
      <x:c r="Q114" s="36"/>
    </x:row>
    <x:row r="115" ht="15" hidden="0" customHeight="1">
      <x:c r="A115" s="36"/>
      <x:c r="B115" s="43"/>
      <x:c r="C115" s="36"/>
      <x:c r="D115" s="36"/>
      <x:c r="E115" s="36"/>
      <x:c r="F115" s="36"/>
      <x:c r="G115" s="39"/>
      <x:c r="H115" s="39"/>
      <x:c r="I115" s="39"/>
      <x:c r="J115" s="36" t="str">
        <x:f>IF(OR(I115="",G115="",H115=""),"",IF(AND(I115&gt;=G115,I115&lt;=H115),"Within Range","Out of Range"))</x:f>
      </x:c>
      <x:c r="K115" s="36" t="str">
        <x:f>IF(J115="","",IF(I115&lt;G115,"Below Min",IF(I115&gt;H115,"Above Max","None")))</x:f>
      </x:c>
      <x:c r="L115" s="36" t="str">
        <x:f>IF(J115="","",IF(J115="Out of Range","Yes","No"))</x:f>
      </x:c>
      <x:c r="M115" s="36"/>
      <x:c r="N115" s="36"/>
      <x:c r="O115" s="36"/>
      <x:c r="P115" s="36"/>
      <x:c r="Q115" s="36"/>
    </x:row>
    <x:row r="116" ht="15" hidden="0" customHeight="1">
      <x:c r="A116" s="36"/>
      <x:c r="B116" s="43"/>
      <x:c r="C116" s="36"/>
      <x:c r="D116" s="36"/>
      <x:c r="E116" s="36"/>
      <x:c r="F116" s="36"/>
      <x:c r="G116" s="39"/>
      <x:c r="H116" s="39"/>
      <x:c r="I116" s="39"/>
      <x:c r="J116" s="36" t="str">
        <x:f>IF(OR(I116="",G116="",H116=""),"",IF(AND(I116&gt;=G116,I116&lt;=H116),"Within Range","Out of Range"))</x:f>
      </x:c>
      <x:c r="K116" s="36" t="str">
        <x:f>IF(J116="","",IF(I116&lt;G116,"Below Min",IF(I116&gt;H116,"Above Max","None")))</x:f>
      </x:c>
      <x:c r="L116" s="36" t="str">
        <x:f>IF(J116="","",IF(J116="Out of Range","Yes","No"))</x:f>
      </x:c>
      <x:c r="M116" s="36"/>
      <x:c r="N116" s="36"/>
      <x:c r="O116" s="36"/>
      <x:c r="P116" s="36"/>
      <x:c r="Q116" s="36"/>
    </x:row>
    <x:row r="117" ht="15" hidden="0" customHeight="1">
      <x:c r="A117" s="36"/>
      <x:c r="B117" s="43"/>
      <x:c r="C117" s="36"/>
      <x:c r="D117" s="36"/>
      <x:c r="E117" s="36"/>
      <x:c r="F117" s="36"/>
      <x:c r="G117" s="39"/>
      <x:c r="H117" s="39"/>
      <x:c r="I117" s="39"/>
      <x:c r="J117" s="36" t="str">
        <x:f>IF(OR(I117="",G117="",H117=""),"",IF(AND(I117&gt;=G117,I117&lt;=H117),"Within Range","Out of Range"))</x:f>
      </x:c>
      <x:c r="K117" s="36" t="str">
        <x:f>IF(J117="","",IF(I117&lt;G117,"Below Min",IF(I117&gt;H117,"Above Max","None")))</x:f>
      </x:c>
      <x:c r="L117" s="36" t="str">
        <x:f>IF(J117="","",IF(J117="Out of Range","Yes","No"))</x:f>
      </x:c>
      <x:c r="M117" s="36"/>
      <x:c r="N117" s="36"/>
      <x:c r="O117" s="36"/>
      <x:c r="P117" s="36"/>
      <x:c r="Q117" s="36"/>
    </x:row>
    <x:row r="118" ht="15" hidden="0" customHeight="1">
      <x:c r="A118" s="36"/>
      <x:c r="B118" s="43"/>
      <x:c r="C118" s="36"/>
      <x:c r="D118" s="36"/>
      <x:c r="E118" s="36"/>
      <x:c r="F118" s="36"/>
      <x:c r="G118" s="39"/>
      <x:c r="H118" s="39"/>
      <x:c r="I118" s="39"/>
      <x:c r="J118" s="36" t="str">
        <x:f>IF(OR(I118="",G118="",H118=""),"",IF(AND(I118&gt;=G118,I118&lt;=H118),"Within Range","Out of Range"))</x:f>
      </x:c>
      <x:c r="K118" s="36" t="str">
        <x:f>IF(J118="","",IF(I118&lt;G118,"Below Min",IF(I118&gt;H118,"Above Max","None")))</x:f>
      </x:c>
      <x:c r="L118" s="36" t="str">
        <x:f>IF(J118="","",IF(J118="Out of Range","Yes","No"))</x:f>
      </x:c>
      <x:c r="M118" s="36"/>
      <x:c r="N118" s="36"/>
      <x:c r="O118" s="36"/>
      <x:c r="P118" s="36"/>
      <x:c r="Q118" s="36"/>
    </x:row>
    <x:row r="119" ht="15" hidden="0" customHeight="1">
      <x:c r="A119" s="36"/>
      <x:c r="B119" s="43"/>
      <x:c r="C119" s="36"/>
      <x:c r="D119" s="36"/>
      <x:c r="E119" s="36"/>
      <x:c r="F119" s="36"/>
      <x:c r="G119" s="39"/>
      <x:c r="H119" s="39"/>
      <x:c r="I119" s="39"/>
      <x:c r="J119" s="36" t="str">
        <x:f>IF(OR(I119="",G119="",H119=""),"",IF(AND(I119&gt;=G119,I119&lt;=H119),"Within Range","Out of Range"))</x:f>
      </x:c>
      <x:c r="K119" s="36" t="str">
        <x:f>IF(J119="","",IF(I119&lt;G119,"Below Min",IF(I119&gt;H119,"Above Max","None")))</x:f>
      </x:c>
      <x:c r="L119" s="36" t="str">
        <x:f>IF(J119="","",IF(J119="Out of Range","Yes","No"))</x:f>
      </x:c>
      <x:c r="M119" s="36"/>
      <x:c r="N119" s="36"/>
      <x:c r="O119" s="36"/>
      <x:c r="P119" s="36"/>
      <x:c r="Q119" s="36"/>
    </x:row>
    <x:row r="120" ht="15" hidden="0" customHeight="1">
      <x:c r="A120" s="36"/>
      <x:c r="B120" s="43"/>
      <x:c r="C120" s="36"/>
      <x:c r="D120" s="36"/>
      <x:c r="E120" s="36"/>
      <x:c r="F120" s="36"/>
      <x:c r="G120" s="39"/>
      <x:c r="H120" s="39"/>
      <x:c r="I120" s="39"/>
      <x:c r="J120" s="36" t="str">
        <x:f>IF(OR(I120="",G120="",H120=""),"",IF(AND(I120&gt;=G120,I120&lt;=H120),"Within Range","Out of Range"))</x:f>
      </x:c>
      <x:c r="K120" s="36" t="str">
        <x:f>IF(J120="","",IF(I120&lt;G120,"Below Min",IF(I120&gt;H120,"Above Max","None")))</x:f>
      </x:c>
      <x:c r="L120" s="36" t="str">
        <x:f>IF(J120="","",IF(J120="Out of Range","Yes","No"))</x:f>
      </x:c>
      <x:c r="M120" s="36"/>
      <x:c r="N120" s="36"/>
      <x:c r="O120" s="36"/>
      <x:c r="P120" s="36"/>
      <x:c r="Q120" s="36"/>
    </x:row>
    <x:row r="121" ht="15" hidden="0" customHeight="1">
      <x:c r="A121" s="36"/>
      <x:c r="B121" s="43"/>
      <x:c r="C121" s="36"/>
      <x:c r="D121" s="36"/>
      <x:c r="E121" s="36"/>
      <x:c r="F121" s="36"/>
      <x:c r="G121" s="39"/>
      <x:c r="H121" s="39"/>
      <x:c r="I121" s="39"/>
      <x:c r="J121" s="36" t="str">
        <x:f>IF(OR(I121="",G121="",H121=""),"",IF(AND(I121&gt;=G121,I121&lt;=H121),"Within Range","Out of Range"))</x:f>
      </x:c>
      <x:c r="K121" s="36" t="str">
        <x:f>IF(J121="","",IF(I121&lt;G121,"Below Min",IF(I121&gt;H121,"Above Max","None")))</x:f>
      </x:c>
      <x:c r="L121" s="36" t="str">
        <x:f>IF(J121="","",IF(J121="Out of Range","Yes","No"))</x:f>
      </x:c>
      <x:c r="M121" s="36"/>
      <x:c r="N121" s="36"/>
      <x:c r="O121" s="36"/>
      <x:c r="P121" s="36"/>
      <x:c r="Q121" s="36"/>
    </x:row>
    <x:row r="122" ht="15" hidden="0" customHeight="1">
      <x:c r="A122" s="36"/>
      <x:c r="B122" s="43"/>
      <x:c r="C122" s="36"/>
      <x:c r="D122" s="36"/>
      <x:c r="E122" s="36"/>
      <x:c r="F122" s="36"/>
      <x:c r="G122" s="39"/>
      <x:c r="H122" s="39"/>
      <x:c r="I122" s="39"/>
      <x:c r="J122" s="36" t="str">
        <x:f>IF(OR(I122="",G122="",H122=""),"",IF(AND(I122&gt;=G122,I122&lt;=H122),"Within Range","Out of Range"))</x:f>
      </x:c>
      <x:c r="K122" s="36" t="str">
        <x:f>IF(J122="","",IF(I122&lt;G122,"Below Min",IF(I122&gt;H122,"Above Max","None")))</x:f>
      </x:c>
      <x:c r="L122" s="36" t="str">
        <x:f>IF(J122="","",IF(J122="Out of Range","Yes","No"))</x:f>
      </x:c>
      <x:c r="M122" s="36"/>
      <x:c r="N122" s="36"/>
      <x:c r="O122" s="36"/>
      <x:c r="P122" s="36"/>
      <x:c r="Q122" s="36"/>
    </x:row>
    <x:row r="123" ht="15" hidden="0" customHeight="1">
      <x:c r="A123" s="36"/>
      <x:c r="B123" s="43"/>
      <x:c r="C123" s="36"/>
      <x:c r="D123" s="36"/>
      <x:c r="E123" s="36"/>
      <x:c r="F123" s="36"/>
      <x:c r="G123" s="39"/>
      <x:c r="H123" s="39"/>
      <x:c r="I123" s="39"/>
      <x:c r="J123" s="36" t="str">
        <x:f>IF(OR(I123="",G123="",H123=""),"",IF(AND(I123&gt;=G123,I123&lt;=H123),"Within Range","Out of Range"))</x:f>
      </x:c>
      <x:c r="K123" s="36" t="str">
        <x:f>IF(J123="","",IF(I123&lt;G123,"Below Min",IF(I123&gt;H123,"Above Max","None")))</x:f>
      </x:c>
      <x:c r="L123" s="36" t="str">
        <x:f>IF(J123="","",IF(J123="Out of Range","Yes","No"))</x:f>
      </x:c>
      <x:c r="M123" s="36"/>
      <x:c r="N123" s="36"/>
      <x:c r="O123" s="36"/>
      <x:c r="P123" s="36"/>
      <x:c r="Q123" s="36"/>
    </x:row>
    <x:row r="124" ht="15" hidden="0" customHeight="1">
      <x:c r="A124" s="36"/>
      <x:c r="B124" s="43"/>
      <x:c r="C124" s="36"/>
      <x:c r="D124" s="36"/>
      <x:c r="E124" s="36"/>
      <x:c r="F124" s="36"/>
      <x:c r="G124" s="39"/>
      <x:c r="H124" s="39"/>
      <x:c r="I124" s="39"/>
      <x:c r="J124" s="36" t="str">
        <x:f>IF(OR(I124="",G124="",H124=""),"",IF(AND(I124&gt;=G124,I124&lt;=H124),"Within Range","Out of Range"))</x:f>
      </x:c>
      <x:c r="K124" s="36" t="str">
        <x:f>IF(J124="","",IF(I124&lt;G124,"Below Min",IF(I124&gt;H124,"Above Max","None")))</x:f>
      </x:c>
      <x:c r="L124" s="36" t="str">
        <x:f>IF(J124="","",IF(J124="Out of Range","Yes","No"))</x:f>
      </x:c>
      <x:c r="M124" s="36"/>
      <x:c r="N124" s="36"/>
      <x:c r="O124" s="36"/>
      <x:c r="P124" s="36"/>
      <x:c r="Q124" s="36"/>
    </x:row>
    <x:row r="125" ht="15" hidden="0" customHeight="1">
      <x:c r="A125" s="36"/>
      <x:c r="B125" s="43"/>
      <x:c r="C125" s="36"/>
      <x:c r="D125" s="36"/>
      <x:c r="E125" s="36"/>
      <x:c r="F125" s="36"/>
      <x:c r="G125" s="39"/>
      <x:c r="H125" s="39"/>
      <x:c r="I125" s="39"/>
      <x:c r="J125" s="36" t="str">
        <x:f>IF(OR(I125="",G125="",H125=""),"",IF(AND(I125&gt;=G125,I125&lt;=H125),"Within Range","Out of Range"))</x:f>
      </x:c>
      <x:c r="K125" s="36" t="str">
        <x:f>IF(J125="","",IF(I125&lt;G125,"Below Min",IF(I125&gt;H125,"Above Max","None")))</x:f>
      </x:c>
      <x:c r="L125" s="36" t="str">
        <x:f>IF(J125="","",IF(J125="Out of Range","Yes","No"))</x:f>
      </x:c>
      <x:c r="M125" s="36"/>
      <x:c r="N125" s="36"/>
      <x:c r="O125" s="36"/>
      <x:c r="P125" s="36"/>
      <x:c r="Q125" s="36"/>
    </x:row>
    <x:row r="126" ht="15" hidden="0" customHeight="1">
      <x:c r="A126" s="36"/>
      <x:c r="B126" s="43"/>
      <x:c r="C126" s="36"/>
      <x:c r="D126" s="36"/>
      <x:c r="E126" s="36"/>
      <x:c r="F126" s="36"/>
      <x:c r="G126" s="39"/>
      <x:c r="H126" s="39"/>
      <x:c r="I126" s="39"/>
      <x:c r="J126" s="36" t="str">
        <x:f>IF(OR(I126="",G126="",H126=""),"",IF(AND(I126&gt;=G126,I126&lt;=H126),"Within Range","Out of Range"))</x:f>
      </x:c>
      <x:c r="K126" s="36" t="str">
        <x:f>IF(J126="","",IF(I126&lt;G126,"Below Min",IF(I126&gt;H126,"Above Max","None")))</x:f>
      </x:c>
      <x:c r="L126" s="36" t="str">
        <x:f>IF(J126="","",IF(J126="Out of Range","Yes","No"))</x:f>
      </x:c>
      <x:c r="M126" s="36"/>
      <x:c r="N126" s="36"/>
      <x:c r="O126" s="36"/>
      <x:c r="P126" s="36"/>
      <x:c r="Q126" s="36"/>
    </x:row>
    <x:row r="127" ht="15" hidden="0" customHeight="1">
      <x:c r="A127" s="36"/>
      <x:c r="B127" s="43"/>
      <x:c r="C127" s="36"/>
      <x:c r="D127" s="36"/>
      <x:c r="E127" s="36"/>
      <x:c r="F127" s="36"/>
      <x:c r="G127" s="39"/>
      <x:c r="H127" s="39"/>
      <x:c r="I127" s="39"/>
      <x:c r="J127" s="36" t="str">
        <x:f>IF(OR(I127="",G127="",H127=""),"",IF(AND(I127&gt;=G127,I127&lt;=H127),"Within Range","Out of Range"))</x:f>
      </x:c>
      <x:c r="K127" s="36" t="str">
        <x:f>IF(J127="","",IF(I127&lt;G127,"Below Min",IF(I127&gt;H127,"Above Max","None")))</x:f>
      </x:c>
      <x:c r="L127" s="36" t="str">
        <x:f>IF(J127="","",IF(J127="Out of Range","Yes","No"))</x:f>
      </x:c>
      <x:c r="M127" s="36"/>
      <x:c r="N127" s="36"/>
      <x:c r="O127" s="36"/>
      <x:c r="P127" s="36"/>
      <x:c r="Q127" s="36"/>
    </x:row>
    <x:row r="128" ht="15" hidden="0" customHeight="1">
      <x:c r="A128" s="36"/>
      <x:c r="B128" s="43"/>
      <x:c r="C128" s="36"/>
      <x:c r="D128" s="36"/>
      <x:c r="E128" s="36"/>
      <x:c r="F128" s="36"/>
      <x:c r="G128" s="39"/>
      <x:c r="H128" s="39"/>
      <x:c r="I128" s="39"/>
      <x:c r="J128" s="36" t="str">
        <x:f>IF(OR(I128="",G128="",H128=""),"",IF(AND(I128&gt;=G128,I128&lt;=H128),"Within Range","Out of Range"))</x:f>
      </x:c>
      <x:c r="K128" s="36" t="str">
        <x:f>IF(J128="","",IF(I128&lt;G128,"Below Min",IF(I128&gt;H128,"Above Max","None")))</x:f>
      </x:c>
      <x:c r="L128" s="36" t="str">
        <x:f>IF(J128="","",IF(J128="Out of Range","Yes","No"))</x:f>
      </x:c>
      <x:c r="M128" s="36"/>
      <x:c r="N128" s="36"/>
      <x:c r="O128" s="36"/>
      <x:c r="P128" s="36"/>
      <x:c r="Q128" s="36"/>
    </x:row>
    <x:row r="129" ht="15" hidden="0" customHeight="1">
      <x:c r="A129" s="36"/>
      <x:c r="B129" s="43"/>
      <x:c r="C129" s="36"/>
      <x:c r="D129" s="36"/>
      <x:c r="E129" s="36"/>
      <x:c r="F129" s="36"/>
      <x:c r="G129" s="39"/>
      <x:c r="H129" s="39"/>
      <x:c r="I129" s="39"/>
      <x:c r="J129" s="36" t="str">
        <x:f>IF(OR(I129="",G129="",H129=""),"",IF(AND(I129&gt;=G129,I129&lt;=H129),"Within Range","Out of Range"))</x:f>
      </x:c>
      <x:c r="K129" s="36" t="str">
        <x:f>IF(J129="","",IF(I129&lt;G129,"Below Min",IF(I129&gt;H129,"Above Max","None")))</x:f>
      </x:c>
      <x:c r="L129" s="36" t="str">
        <x:f>IF(J129="","",IF(J129="Out of Range","Yes","No"))</x:f>
      </x:c>
      <x:c r="M129" s="36"/>
      <x:c r="N129" s="36"/>
      <x:c r="O129" s="36"/>
      <x:c r="P129" s="36"/>
      <x:c r="Q129" s="36"/>
    </x:row>
    <x:row r="130" ht="15" hidden="0" customHeight="1">
      <x:c r="A130" s="36"/>
      <x:c r="B130" s="43"/>
      <x:c r="C130" s="36"/>
      <x:c r="D130" s="36"/>
      <x:c r="E130" s="36"/>
      <x:c r="F130" s="36"/>
      <x:c r="G130" s="39"/>
      <x:c r="H130" s="39"/>
      <x:c r="I130" s="39"/>
      <x:c r="J130" s="36" t="str">
        <x:f>IF(OR(I130="",G130="",H130=""),"",IF(AND(I130&gt;=G130,I130&lt;=H130),"Within Range","Out of Range"))</x:f>
      </x:c>
      <x:c r="K130" s="36" t="str">
        <x:f>IF(J130="","",IF(I130&lt;G130,"Below Min",IF(I130&gt;H130,"Above Max","None")))</x:f>
      </x:c>
      <x:c r="L130" s="36" t="str">
        <x:f>IF(J130="","",IF(J130="Out of Range","Yes","No"))</x:f>
      </x:c>
      <x:c r="M130" s="36"/>
      <x:c r="N130" s="36"/>
      <x:c r="O130" s="36"/>
      <x:c r="P130" s="36"/>
      <x:c r="Q130" s="36"/>
    </x:row>
    <x:row r="131" ht="15" hidden="0" customHeight="1">
      <x:c r="A131" s="36"/>
      <x:c r="B131" s="43"/>
      <x:c r="C131" s="36"/>
      <x:c r="D131" s="36"/>
      <x:c r="E131" s="36"/>
      <x:c r="F131" s="36"/>
      <x:c r="G131" s="39"/>
      <x:c r="H131" s="39"/>
      <x:c r="I131" s="39"/>
      <x:c r="J131" s="36" t="str">
        <x:f>IF(OR(I131="",G131="",H131=""),"",IF(AND(I131&gt;=G131,I131&lt;=H131),"Within Range","Out of Range"))</x:f>
      </x:c>
      <x:c r="K131" s="36" t="str">
        <x:f>IF(J131="","",IF(I131&lt;G131,"Below Min",IF(I131&gt;H131,"Above Max","None")))</x:f>
      </x:c>
      <x:c r="L131" s="36" t="str">
        <x:f>IF(J131="","",IF(J131="Out of Range","Yes","No"))</x:f>
      </x:c>
      <x:c r="M131" s="36"/>
      <x:c r="N131" s="36"/>
      <x:c r="O131" s="36"/>
      <x:c r="P131" s="36"/>
      <x:c r="Q131" s="36"/>
    </x:row>
    <x:row r="132" ht="15" hidden="0" customHeight="1">
      <x:c r="A132" s="36"/>
      <x:c r="B132" s="43"/>
      <x:c r="C132" s="36"/>
      <x:c r="D132" s="36"/>
      <x:c r="E132" s="36"/>
      <x:c r="F132" s="36"/>
      <x:c r="G132" s="39"/>
      <x:c r="H132" s="39"/>
      <x:c r="I132" s="39"/>
      <x:c r="J132" s="36" t="str">
        <x:f>IF(OR(I132="",G132="",H132=""),"",IF(AND(I132&gt;=G132,I132&lt;=H132),"Within Range","Out of Range"))</x:f>
      </x:c>
      <x:c r="K132" s="36" t="str">
        <x:f>IF(J132="","",IF(I132&lt;G132,"Below Min",IF(I132&gt;H132,"Above Max","None")))</x:f>
      </x:c>
      <x:c r="L132" s="36" t="str">
        <x:f>IF(J132="","",IF(J132="Out of Range","Yes","No"))</x:f>
      </x:c>
      <x:c r="M132" s="36"/>
      <x:c r="N132" s="36"/>
      <x:c r="O132" s="36"/>
      <x:c r="P132" s="36"/>
      <x:c r="Q132" s="36"/>
    </x:row>
    <x:row r="133" ht="15" hidden="0" customHeight="1">
      <x:c r="A133" s="36"/>
      <x:c r="B133" s="43"/>
      <x:c r="C133" s="36"/>
      <x:c r="D133" s="36"/>
      <x:c r="E133" s="36"/>
      <x:c r="F133" s="36"/>
      <x:c r="G133" s="39"/>
      <x:c r="H133" s="39"/>
      <x:c r="I133" s="39"/>
      <x:c r="J133" s="36" t="str">
        <x:f>IF(OR(I133="",G133="",H133=""),"",IF(AND(I133&gt;=G133,I133&lt;=H133),"Within Range","Out of Range"))</x:f>
      </x:c>
      <x:c r="K133" s="36" t="str">
        <x:f>IF(J133="","",IF(I133&lt;G133,"Below Min",IF(I133&gt;H133,"Above Max","None")))</x:f>
      </x:c>
      <x:c r="L133" s="36" t="str">
        <x:f>IF(J133="","",IF(J133="Out of Range","Yes","No"))</x:f>
      </x:c>
      <x:c r="M133" s="36"/>
      <x:c r="N133" s="36"/>
      <x:c r="O133" s="36"/>
      <x:c r="P133" s="36"/>
      <x:c r="Q133" s="36"/>
    </x:row>
    <x:row r="134" ht="15" hidden="0" customHeight="1">
      <x:c r="A134" s="36"/>
      <x:c r="B134" s="43"/>
      <x:c r="C134" s="36"/>
      <x:c r="D134" s="36"/>
      <x:c r="E134" s="36"/>
      <x:c r="F134" s="36"/>
      <x:c r="G134" s="39"/>
      <x:c r="H134" s="39"/>
      <x:c r="I134" s="39"/>
      <x:c r="J134" s="36" t="str">
        <x:f>IF(OR(I134="",G134="",H134=""),"",IF(AND(I134&gt;=G134,I134&lt;=H134),"Within Range","Out of Range"))</x:f>
      </x:c>
      <x:c r="K134" s="36" t="str">
        <x:f>IF(J134="","",IF(I134&lt;G134,"Below Min",IF(I134&gt;H134,"Above Max","None")))</x:f>
      </x:c>
      <x:c r="L134" s="36" t="str">
        <x:f>IF(J134="","",IF(J134="Out of Range","Yes","No"))</x:f>
      </x:c>
      <x:c r="M134" s="36"/>
      <x:c r="N134" s="36"/>
      <x:c r="O134" s="36"/>
      <x:c r="P134" s="36"/>
      <x:c r="Q134" s="36"/>
    </x:row>
    <x:row r="135" ht="15" hidden="0" customHeight="1">
      <x:c r="A135" s="36"/>
      <x:c r="B135" s="43"/>
      <x:c r="C135" s="36"/>
      <x:c r="D135" s="36"/>
      <x:c r="E135" s="36"/>
      <x:c r="F135" s="36"/>
      <x:c r="G135" s="39"/>
      <x:c r="H135" s="39"/>
      <x:c r="I135" s="39"/>
      <x:c r="J135" s="36" t="str">
        <x:f>IF(OR(I135="",G135="",H135=""),"",IF(AND(I135&gt;=G135,I135&lt;=H135),"Within Range","Out of Range"))</x:f>
      </x:c>
      <x:c r="K135" s="36" t="str">
        <x:f>IF(J135="","",IF(I135&lt;G135,"Below Min",IF(I135&gt;H135,"Above Max","None")))</x:f>
      </x:c>
      <x:c r="L135" s="36" t="str">
        <x:f>IF(J135="","",IF(J135="Out of Range","Yes","No"))</x:f>
      </x:c>
      <x:c r="M135" s="36"/>
      <x:c r="N135" s="36"/>
      <x:c r="O135" s="36"/>
      <x:c r="P135" s="36"/>
      <x:c r="Q135" s="36"/>
    </x:row>
    <x:row r="136" ht="15" hidden="0" customHeight="1">
      <x:c r="A136" s="36"/>
      <x:c r="B136" s="43"/>
      <x:c r="C136" s="36"/>
      <x:c r="D136" s="36"/>
      <x:c r="E136" s="36"/>
      <x:c r="F136" s="36"/>
      <x:c r="G136" s="39"/>
      <x:c r="H136" s="39"/>
      <x:c r="I136" s="39"/>
      <x:c r="J136" s="36" t="str">
        <x:f>IF(OR(I136="",G136="",H136=""),"",IF(AND(I136&gt;=G136,I136&lt;=H136),"Within Range","Out of Range"))</x:f>
      </x:c>
      <x:c r="K136" s="36" t="str">
        <x:f>IF(J136="","",IF(I136&lt;G136,"Below Min",IF(I136&gt;H136,"Above Max","None")))</x:f>
      </x:c>
      <x:c r="L136" s="36" t="str">
        <x:f>IF(J136="","",IF(J136="Out of Range","Yes","No"))</x:f>
      </x:c>
      <x:c r="M136" s="36"/>
      <x:c r="N136" s="36"/>
      <x:c r="O136" s="36"/>
      <x:c r="P136" s="36"/>
      <x:c r="Q136" s="36"/>
    </x:row>
    <x:row r="137" ht="15" hidden="0" customHeight="1">
      <x:c r="A137" s="36"/>
      <x:c r="B137" s="43"/>
      <x:c r="C137" s="36"/>
      <x:c r="D137" s="36"/>
      <x:c r="E137" s="36"/>
      <x:c r="F137" s="36"/>
      <x:c r="G137" s="39"/>
      <x:c r="H137" s="39"/>
      <x:c r="I137" s="39"/>
      <x:c r="J137" s="36" t="str">
        <x:f>IF(OR(I137="",G137="",H137=""),"",IF(AND(I137&gt;=G137,I137&lt;=H137),"Within Range","Out of Range"))</x:f>
      </x:c>
      <x:c r="K137" s="36" t="str">
        <x:f>IF(J137="","",IF(I137&lt;G137,"Below Min",IF(I137&gt;H137,"Above Max","None")))</x:f>
      </x:c>
      <x:c r="L137" s="36" t="str">
        <x:f>IF(J137="","",IF(J137="Out of Range","Yes","No"))</x:f>
      </x:c>
      <x:c r="M137" s="36"/>
      <x:c r="N137" s="36"/>
      <x:c r="O137" s="36"/>
      <x:c r="P137" s="36"/>
      <x:c r="Q137" s="36"/>
    </x:row>
    <x:row r="138" ht="15" hidden="0" customHeight="1">
      <x:c r="A138" s="36"/>
      <x:c r="B138" s="43"/>
      <x:c r="C138" s="36"/>
      <x:c r="D138" s="36"/>
      <x:c r="E138" s="36"/>
      <x:c r="F138" s="36"/>
      <x:c r="G138" s="39"/>
      <x:c r="H138" s="39"/>
      <x:c r="I138" s="39"/>
      <x:c r="J138" s="36" t="str">
        <x:f>IF(OR(I138="",G138="",H138=""),"",IF(AND(I138&gt;=G138,I138&lt;=H138),"Within Range","Out of Range"))</x:f>
      </x:c>
      <x:c r="K138" s="36" t="str">
        <x:f>IF(J138="","",IF(I138&lt;G138,"Below Min",IF(I138&gt;H138,"Above Max","None")))</x:f>
      </x:c>
      <x:c r="L138" s="36" t="str">
        <x:f>IF(J138="","",IF(J138="Out of Range","Yes","No"))</x:f>
      </x:c>
      <x:c r="M138" s="36"/>
      <x:c r="N138" s="36"/>
      <x:c r="O138" s="36"/>
      <x:c r="P138" s="36"/>
      <x:c r="Q138" s="36"/>
    </x:row>
    <x:row r="139" ht="15" hidden="0" customHeight="1">
      <x:c r="A139" s="36"/>
      <x:c r="B139" s="43"/>
      <x:c r="C139" s="36"/>
      <x:c r="D139" s="36"/>
      <x:c r="E139" s="36"/>
      <x:c r="F139" s="36"/>
      <x:c r="G139" s="39"/>
      <x:c r="H139" s="39"/>
      <x:c r="I139" s="39"/>
      <x:c r="J139" s="36" t="str">
        <x:f>IF(OR(I139="",G139="",H139=""),"",IF(AND(I139&gt;=G139,I139&lt;=H139),"Within Range","Out of Range"))</x:f>
      </x:c>
      <x:c r="K139" s="36" t="str">
        <x:f>IF(J139="","",IF(I139&lt;G139,"Below Min",IF(I139&gt;H139,"Above Max","None")))</x:f>
      </x:c>
      <x:c r="L139" s="36" t="str">
        <x:f>IF(J139="","",IF(J139="Out of Range","Yes","No"))</x:f>
      </x:c>
      <x:c r="M139" s="36"/>
      <x:c r="N139" s="36"/>
      <x:c r="O139" s="36"/>
      <x:c r="P139" s="36"/>
      <x:c r="Q139" s="36"/>
    </x:row>
    <x:row r="140" ht="15" hidden="0" customHeight="1">
      <x:c r="A140" s="36"/>
      <x:c r="B140" s="43"/>
      <x:c r="C140" s="36"/>
      <x:c r="D140" s="36"/>
      <x:c r="E140" s="36"/>
      <x:c r="F140" s="36"/>
      <x:c r="G140" s="39"/>
      <x:c r="H140" s="39"/>
      <x:c r="I140" s="39"/>
      <x:c r="J140" s="36" t="str">
        <x:f>IF(OR(I140="",G140="",H140=""),"",IF(AND(I140&gt;=G140,I140&lt;=H140),"Within Range","Out of Range"))</x:f>
      </x:c>
      <x:c r="K140" s="36" t="str">
        <x:f>IF(J140="","",IF(I140&lt;G140,"Below Min",IF(I140&gt;H140,"Above Max","None")))</x:f>
      </x:c>
      <x:c r="L140" s="36" t="str">
        <x:f>IF(J140="","",IF(J140="Out of Range","Yes","No"))</x:f>
      </x:c>
      <x:c r="M140" s="36"/>
      <x:c r="N140" s="36"/>
      <x:c r="O140" s="36"/>
      <x:c r="P140" s="36"/>
      <x:c r="Q140" s="36"/>
    </x:row>
    <x:row r="141" ht="15" hidden="0" customHeight="1">
      <x:c r="A141" s="36"/>
      <x:c r="B141" s="43"/>
      <x:c r="C141" s="36"/>
      <x:c r="D141" s="36"/>
      <x:c r="E141" s="36"/>
      <x:c r="F141" s="36"/>
      <x:c r="G141" s="39"/>
      <x:c r="H141" s="39"/>
      <x:c r="I141" s="39"/>
      <x:c r="J141" s="36" t="str">
        <x:f>IF(OR(I141="",G141="",H141=""),"",IF(AND(I141&gt;=G141,I141&lt;=H141),"Within Range","Out of Range"))</x:f>
      </x:c>
      <x:c r="K141" s="36" t="str">
        <x:f>IF(J141="","",IF(I141&lt;G141,"Below Min",IF(I141&gt;H141,"Above Max","None")))</x:f>
      </x:c>
      <x:c r="L141" s="36" t="str">
        <x:f>IF(J141="","",IF(J141="Out of Range","Yes","No"))</x:f>
      </x:c>
      <x:c r="M141" s="36"/>
      <x:c r="N141" s="36"/>
      <x:c r="O141" s="36"/>
      <x:c r="P141" s="36"/>
      <x:c r="Q141" s="36"/>
    </x:row>
    <x:row r="142" ht="15" hidden="0" customHeight="1">
      <x:c r="A142" s="36"/>
      <x:c r="B142" s="43"/>
      <x:c r="C142" s="36"/>
      <x:c r="D142" s="36"/>
      <x:c r="E142" s="36"/>
      <x:c r="F142" s="36"/>
      <x:c r="G142" s="39"/>
      <x:c r="H142" s="39"/>
      <x:c r="I142" s="39"/>
      <x:c r="J142" s="36" t="str">
        <x:f>IF(OR(I142="",G142="",H142=""),"",IF(AND(I142&gt;=G142,I142&lt;=H142),"Within Range","Out of Range"))</x:f>
      </x:c>
      <x:c r="K142" s="36" t="str">
        <x:f>IF(J142="","",IF(I142&lt;G142,"Below Min",IF(I142&gt;H142,"Above Max","None")))</x:f>
      </x:c>
      <x:c r="L142" s="36" t="str">
        <x:f>IF(J142="","",IF(J142="Out of Range","Yes","No"))</x:f>
      </x:c>
      <x:c r="M142" s="36"/>
      <x:c r="N142" s="36"/>
      <x:c r="O142" s="36"/>
      <x:c r="P142" s="36"/>
      <x:c r="Q142" s="36"/>
    </x:row>
    <x:row r="143" ht="15" hidden="0" customHeight="1">
      <x:c r="A143" s="36"/>
      <x:c r="B143" s="43"/>
      <x:c r="C143" s="36"/>
      <x:c r="D143" s="36"/>
      <x:c r="E143" s="36"/>
      <x:c r="F143" s="36"/>
      <x:c r="G143" s="39"/>
      <x:c r="H143" s="39"/>
      <x:c r="I143" s="39"/>
      <x:c r="J143" s="36" t="str">
        <x:f>IF(OR(I143="",G143="",H143=""),"",IF(AND(I143&gt;=G143,I143&lt;=H143),"Within Range","Out of Range"))</x:f>
      </x:c>
      <x:c r="K143" s="36" t="str">
        <x:f>IF(J143="","",IF(I143&lt;G143,"Below Min",IF(I143&gt;H143,"Above Max","None")))</x:f>
      </x:c>
      <x:c r="L143" s="36" t="str">
        <x:f>IF(J143="","",IF(J143="Out of Range","Yes","No"))</x:f>
      </x:c>
      <x:c r="M143" s="36"/>
      <x:c r="N143" s="36"/>
      <x:c r="O143" s="36"/>
      <x:c r="P143" s="36"/>
      <x:c r="Q143" s="36"/>
    </x:row>
    <x:row r="144" ht="15" hidden="0" customHeight="1">
      <x:c r="A144" s="36"/>
      <x:c r="B144" s="43"/>
      <x:c r="C144" s="36"/>
      <x:c r="D144" s="36"/>
      <x:c r="E144" s="36"/>
      <x:c r="F144" s="36"/>
      <x:c r="G144" s="39"/>
      <x:c r="H144" s="39"/>
      <x:c r="I144" s="39"/>
      <x:c r="J144" s="36" t="str">
        <x:f>IF(OR(I144="",G144="",H144=""),"",IF(AND(I144&gt;=G144,I144&lt;=H144),"Within Range","Out of Range"))</x:f>
      </x:c>
      <x:c r="K144" s="36" t="str">
        <x:f>IF(J144="","",IF(I144&lt;G144,"Below Min",IF(I144&gt;H144,"Above Max","None")))</x:f>
      </x:c>
      <x:c r="L144" s="36" t="str">
        <x:f>IF(J144="","",IF(J144="Out of Range","Yes","No"))</x:f>
      </x:c>
      <x:c r="M144" s="36"/>
      <x:c r="N144" s="36"/>
      <x:c r="O144" s="36"/>
      <x:c r="P144" s="36"/>
      <x:c r="Q144" s="36"/>
    </x:row>
    <x:row r="145" ht="15" hidden="0" customHeight="1">
      <x:c r="A145" s="36"/>
      <x:c r="B145" s="43"/>
      <x:c r="C145" s="36"/>
      <x:c r="D145" s="36"/>
      <x:c r="E145" s="36"/>
      <x:c r="F145" s="36"/>
      <x:c r="G145" s="39"/>
      <x:c r="H145" s="39"/>
      <x:c r="I145" s="39"/>
      <x:c r="J145" s="36" t="str">
        <x:f>IF(OR(I145="",G145="",H145=""),"",IF(AND(I145&gt;=G145,I145&lt;=H145),"Within Range","Out of Range"))</x:f>
      </x:c>
      <x:c r="K145" s="36" t="str">
        <x:f>IF(J145="","",IF(I145&lt;G145,"Below Min",IF(I145&gt;H145,"Above Max","None")))</x:f>
      </x:c>
      <x:c r="L145" s="36" t="str">
        <x:f>IF(J145="","",IF(J145="Out of Range","Yes","No"))</x:f>
      </x:c>
      <x:c r="M145" s="36"/>
      <x:c r="N145" s="36"/>
      <x:c r="O145" s="36"/>
      <x:c r="P145" s="36"/>
      <x:c r="Q145" s="36"/>
    </x:row>
    <x:row r="146" ht="15" hidden="0" customHeight="1">
      <x:c r="A146" s="36"/>
      <x:c r="B146" s="43"/>
      <x:c r="C146" s="36"/>
      <x:c r="D146" s="36"/>
      <x:c r="E146" s="36"/>
      <x:c r="F146" s="36"/>
      <x:c r="G146" s="39"/>
      <x:c r="H146" s="39"/>
      <x:c r="I146" s="39"/>
      <x:c r="J146" s="36" t="str">
        <x:f>IF(OR(I146="",G146="",H146=""),"",IF(AND(I146&gt;=G146,I146&lt;=H146),"Within Range","Out of Range"))</x:f>
      </x:c>
      <x:c r="K146" s="36" t="str">
        <x:f>IF(J146="","",IF(I146&lt;G146,"Below Min",IF(I146&gt;H146,"Above Max","None")))</x:f>
      </x:c>
      <x:c r="L146" s="36" t="str">
        <x:f>IF(J146="","",IF(J146="Out of Range","Yes","No"))</x:f>
      </x:c>
      <x:c r="M146" s="36"/>
      <x:c r="N146" s="36"/>
      <x:c r="O146" s="36"/>
      <x:c r="P146" s="36"/>
      <x:c r="Q146" s="36"/>
    </x:row>
    <x:row r="147" ht="15" hidden="0" customHeight="1">
      <x:c r="A147" s="36"/>
      <x:c r="B147" s="43"/>
      <x:c r="C147" s="36"/>
      <x:c r="D147" s="36"/>
      <x:c r="E147" s="36"/>
      <x:c r="F147" s="36"/>
      <x:c r="G147" s="39"/>
      <x:c r="H147" s="39"/>
      <x:c r="I147" s="39"/>
      <x:c r="J147" s="36" t="str">
        <x:f>IF(OR(I147="",G147="",H147=""),"",IF(AND(I147&gt;=G147,I147&lt;=H147),"Within Range","Out of Range"))</x:f>
      </x:c>
      <x:c r="K147" s="36" t="str">
        <x:f>IF(J147="","",IF(I147&lt;G147,"Below Min",IF(I147&gt;H147,"Above Max","None")))</x:f>
      </x:c>
      <x:c r="L147" s="36" t="str">
        <x:f>IF(J147="","",IF(J147="Out of Range","Yes","No"))</x:f>
      </x:c>
      <x:c r="M147" s="36"/>
      <x:c r="N147" s="36"/>
      <x:c r="O147" s="36"/>
      <x:c r="P147" s="36"/>
      <x:c r="Q147" s="36"/>
    </x:row>
    <x:row r="148" ht="15" hidden="0" customHeight="1">
      <x:c r="A148" s="36"/>
      <x:c r="B148" s="43"/>
      <x:c r="C148" s="36"/>
      <x:c r="D148" s="36"/>
      <x:c r="E148" s="36"/>
      <x:c r="F148" s="36"/>
      <x:c r="G148" s="39"/>
      <x:c r="H148" s="39"/>
      <x:c r="I148" s="39"/>
      <x:c r="J148" s="36" t="str">
        <x:f>IF(OR(I148="",G148="",H148=""),"",IF(AND(I148&gt;=G148,I148&lt;=H148),"Within Range","Out of Range"))</x:f>
      </x:c>
      <x:c r="K148" s="36" t="str">
        <x:f>IF(J148="","",IF(I148&lt;G148,"Below Min",IF(I148&gt;H148,"Above Max","None")))</x:f>
      </x:c>
      <x:c r="L148" s="36" t="str">
        <x:f>IF(J148="","",IF(J148="Out of Range","Yes","No"))</x:f>
      </x:c>
      <x:c r="M148" s="36"/>
      <x:c r="N148" s="36"/>
      <x:c r="O148" s="36"/>
      <x:c r="P148" s="36"/>
      <x:c r="Q148" s="36"/>
    </x:row>
    <x:row r="149" ht="15" hidden="0" customHeight="1">
      <x:c r="A149" s="36"/>
      <x:c r="B149" s="43"/>
      <x:c r="C149" s="36"/>
      <x:c r="D149" s="36"/>
      <x:c r="E149" s="36"/>
      <x:c r="F149" s="36"/>
      <x:c r="G149" s="39"/>
      <x:c r="H149" s="39"/>
      <x:c r="I149" s="39"/>
      <x:c r="J149" s="36" t="str">
        <x:f>IF(OR(I149="",G149="",H149=""),"",IF(AND(I149&gt;=G149,I149&lt;=H149),"Within Range","Out of Range"))</x:f>
      </x:c>
      <x:c r="K149" s="36" t="str">
        <x:f>IF(J149="","",IF(I149&lt;G149,"Below Min",IF(I149&gt;H149,"Above Max","None")))</x:f>
      </x:c>
      <x:c r="L149" s="36" t="str">
        <x:f>IF(J149="","",IF(J149="Out of Range","Yes","No"))</x:f>
      </x:c>
      <x:c r="M149" s="36"/>
      <x:c r="N149" s="36"/>
      <x:c r="O149" s="36"/>
      <x:c r="P149" s="36"/>
      <x:c r="Q149" s="36"/>
    </x:row>
    <x:row r="150" ht="15" hidden="0" customHeight="1">
      <x:c r="A150" s="36"/>
      <x:c r="B150" s="43"/>
      <x:c r="C150" s="36"/>
      <x:c r="D150" s="36"/>
      <x:c r="E150" s="36"/>
      <x:c r="F150" s="36"/>
      <x:c r="G150" s="39"/>
      <x:c r="H150" s="39"/>
      <x:c r="I150" s="39"/>
      <x:c r="J150" s="36" t="str">
        <x:f>IF(OR(I150="",G150="",H150=""),"",IF(AND(I150&gt;=G150,I150&lt;=H150),"Within Range","Out of Range"))</x:f>
      </x:c>
      <x:c r="K150" s="36" t="str">
        <x:f>IF(J150="","",IF(I150&lt;G150,"Below Min",IF(I150&gt;H150,"Above Max","None")))</x:f>
      </x:c>
      <x:c r="L150" s="36" t="str">
        <x:f>IF(J150="","",IF(J150="Out of Range","Yes","No"))</x:f>
      </x:c>
      <x:c r="M150" s="36"/>
      <x:c r="N150" s="36"/>
      <x:c r="O150" s="36"/>
      <x:c r="P150" s="36"/>
      <x:c r="Q150" s="36"/>
    </x:row>
    <x:row r="151" ht="15" hidden="0" customHeight="1">
      <x:c r="A151" s="36"/>
      <x:c r="B151" s="43"/>
      <x:c r="C151" s="36"/>
      <x:c r="D151" s="36"/>
      <x:c r="E151" s="36"/>
      <x:c r="F151" s="36"/>
      <x:c r="G151" s="39"/>
      <x:c r="H151" s="39"/>
      <x:c r="I151" s="39"/>
      <x:c r="J151" s="36" t="str">
        <x:f>IF(OR(I151="",G151="",H151=""),"",IF(AND(I151&gt;=G151,I151&lt;=H151),"Within Range","Out of Range"))</x:f>
      </x:c>
      <x:c r="K151" s="36" t="str">
        <x:f>IF(J151="","",IF(I151&lt;G151,"Below Min",IF(I151&gt;H151,"Above Max","None")))</x:f>
      </x:c>
      <x:c r="L151" s="36" t="str">
        <x:f>IF(J151="","",IF(J151="Out of Range","Yes","No"))</x:f>
      </x:c>
      <x:c r="M151" s="36"/>
      <x:c r="N151" s="36"/>
      <x:c r="O151" s="36"/>
      <x:c r="P151" s="36"/>
      <x:c r="Q151" s="36"/>
    </x:row>
    <x:row r="152" ht="15" hidden="0" customHeight="1">
      <x:c r="A152" s="36"/>
      <x:c r="B152" s="43"/>
      <x:c r="C152" s="36"/>
      <x:c r="D152" s="36"/>
      <x:c r="E152" s="36"/>
      <x:c r="F152" s="36"/>
      <x:c r="G152" s="39"/>
      <x:c r="H152" s="39"/>
      <x:c r="I152" s="39"/>
      <x:c r="J152" s="36" t="str">
        <x:f>IF(OR(I152="",G152="",H152=""),"",IF(AND(I152&gt;=G152,I152&lt;=H152),"Within Range","Out of Range"))</x:f>
      </x:c>
      <x:c r="K152" s="36" t="str">
        <x:f>IF(J152="","",IF(I152&lt;G152,"Below Min",IF(I152&gt;H152,"Above Max","None")))</x:f>
      </x:c>
      <x:c r="L152" s="36" t="str">
        <x:f>IF(J152="","",IF(J152="Out of Range","Yes","No"))</x:f>
      </x:c>
      <x:c r="M152" s="36"/>
      <x:c r="N152" s="36"/>
      <x:c r="O152" s="36"/>
      <x:c r="P152" s="36"/>
      <x:c r="Q152" s="36"/>
    </x:row>
    <x:row r="153" ht="15" hidden="0" customHeight="1">
      <x:c r="A153" s="36"/>
      <x:c r="B153" s="43"/>
      <x:c r="C153" s="36"/>
      <x:c r="D153" s="36"/>
      <x:c r="E153" s="36"/>
      <x:c r="F153" s="36"/>
      <x:c r="G153" s="39"/>
      <x:c r="H153" s="39"/>
      <x:c r="I153" s="39"/>
      <x:c r="J153" s="36" t="str">
        <x:f>IF(OR(I153="",G153="",H153=""),"",IF(AND(I153&gt;=G153,I153&lt;=H153),"Within Range","Out of Range"))</x:f>
      </x:c>
      <x:c r="K153" s="36" t="str">
        <x:f>IF(J153="","",IF(I153&lt;G153,"Below Min",IF(I153&gt;H153,"Above Max","None")))</x:f>
      </x:c>
      <x:c r="L153" s="36" t="str">
        <x:f>IF(J153="","",IF(J153="Out of Range","Yes","No"))</x:f>
      </x:c>
      <x:c r="M153" s="36"/>
      <x:c r="N153" s="36"/>
      <x:c r="O153" s="36"/>
      <x:c r="P153" s="36"/>
      <x:c r="Q153" s="36"/>
    </x:row>
    <x:row r="154" ht="15" hidden="0" customHeight="1">
      <x:c r="A154" s="36"/>
      <x:c r="B154" s="43"/>
      <x:c r="C154" s="36"/>
      <x:c r="D154" s="36"/>
      <x:c r="E154" s="36"/>
      <x:c r="F154" s="36"/>
      <x:c r="G154" s="39"/>
      <x:c r="H154" s="39"/>
      <x:c r="I154" s="39"/>
      <x:c r="J154" s="36" t="str">
        <x:f>IF(OR(I154="",G154="",H154=""),"",IF(AND(I154&gt;=G154,I154&lt;=H154),"Within Range","Out of Range"))</x:f>
      </x:c>
      <x:c r="K154" s="36" t="str">
        <x:f>IF(J154="","",IF(I154&lt;G154,"Below Min",IF(I154&gt;H154,"Above Max","None")))</x:f>
      </x:c>
      <x:c r="L154" s="36" t="str">
        <x:f>IF(J154="","",IF(J154="Out of Range","Yes","No"))</x:f>
      </x:c>
      <x:c r="M154" s="36"/>
      <x:c r="N154" s="36"/>
      <x:c r="O154" s="36"/>
      <x:c r="P154" s="36"/>
      <x:c r="Q154" s="36"/>
    </x:row>
    <x:row r="155" ht="15" hidden="0" customHeight="1">
      <x:c r="A155" s="36"/>
      <x:c r="B155" s="43"/>
      <x:c r="C155" s="36"/>
      <x:c r="D155" s="36"/>
      <x:c r="E155" s="36"/>
      <x:c r="F155" s="36"/>
      <x:c r="G155" s="39"/>
      <x:c r="H155" s="39"/>
      <x:c r="I155" s="39"/>
      <x:c r="J155" s="36" t="str">
        <x:f>IF(OR(I155="",G155="",H155=""),"",IF(AND(I155&gt;=G155,I155&lt;=H155),"Within Range","Out of Range"))</x:f>
      </x:c>
      <x:c r="K155" s="36" t="str">
        <x:f>IF(J155="","",IF(I155&lt;G155,"Below Min",IF(I155&gt;H155,"Above Max","None")))</x:f>
      </x:c>
      <x:c r="L155" s="36" t="str">
        <x:f>IF(J155="","",IF(J155="Out of Range","Yes","No"))</x:f>
      </x:c>
      <x:c r="M155" s="36"/>
      <x:c r="N155" s="36"/>
      <x:c r="O155" s="36"/>
      <x:c r="P155" s="36"/>
      <x:c r="Q155" s="36"/>
    </x:row>
    <x:row r="156" ht="15" hidden="0" customHeight="1">
      <x:c r="A156" s="36"/>
      <x:c r="B156" s="43"/>
      <x:c r="C156" s="36"/>
      <x:c r="D156" s="36"/>
      <x:c r="E156" s="36"/>
      <x:c r="F156" s="36"/>
      <x:c r="G156" s="39"/>
      <x:c r="H156" s="39"/>
      <x:c r="I156" s="39"/>
      <x:c r="J156" s="36" t="str">
        <x:f>IF(OR(I156="",G156="",H156=""),"",IF(AND(I156&gt;=G156,I156&lt;=H156),"Within Range","Out of Range"))</x:f>
      </x:c>
      <x:c r="K156" s="36" t="str">
        <x:f>IF(J156="","",IF(I156&lt;G156,"Below Min",IF(I156&gt;H156,"Above Max","None")))</x:f>
      </x:c>
      <x:c r="L156" s="36" t="str">
        <x:f>IF(J156="","",IF(J156="Out of Range","Yes","No"))</x:f>
      </x:c>
      <x:c r="M156" s="36"/>
      <x:c r="N156" s="36"/>
      <x:c r="O156" s="36"/>
      <x:c r="P156" s="36"/>
      <x:c r="Q156" s="36"/>
    </x:row>
    <x:row r="157" ht="15" hidden="0" customHeight="1">
      <x:c r="A157" s="36"/>
      <x:c r="B157" s="43"/>
      <x:c r="C157" s="36"/>
      <x:c r="D157" s="36"/>
      <x:c r="E157" s="36"/>
      <x:c r="F157" s="36"/>
      <x:c r="G157" s="39"/>
      <x:c r="H157" s="39"/>
      <x:c r="I157" s="39"/>
      <x:c r="J157" s="36" t="str">
        <x:f>IF(OR(I157="",G157="",H157=""),"",IF(AND(I157&gt;=G157,I157&lt;=H157),"Within Range","Out of Range"))</x:f>
      </x:c>
      <x:c r="K157" s="36" t="str">
        <x:f>IF(J157="","",IF(I157&lt;G157,"Below Min",IF(I157&gt;H157,"Above Max","None")))</x:f>
      </x:c>
      <x:c r="L157" s="36" t="str">
        <x:f>IF(J157="","",IF(J157="Out of Range","Yes","No"))</x:f>
      </x:c>
      <x:c r="M157" s="36"/>
      <x:c r="N157" s="36"/>
      <x:c r="O157" s="36"/>
      <x:c r="P157" s="36"/>
      <x:c r="Q157" s="36"/>
    </x:row>
    <x:row r="158" ht="15" hidden="0" customHeight="1">
      <x:c r="A158" s="36"/>
      <x:c r="B158" s="43"/>
      <x:c r="C158" s="36"/>
      <x:c r="D158" s="36"/>
      <x:c r="E158" s="36"/>
      <x:c r="F158" s="36"/>
      <x:c r="G158" s="39"/>
      <x:c r="H158" s="39"/>
      <x:c r="I158" s="39"/>
      <x:c r="J158" s="36" t="str">
        <x:f>IF(OR(I158="",G158="",H158=""),"",IF(AND(I158&gt;=G158,I158&lt;=H158),"Within Range","Out of Range"))</x:f>
      </x:c>
      <x:c r="K158" s="36" t="str">
        <x:f>IF(J158="","",IF(I158&lt;G158,"Below Min",IF(I158&gt;H158,"Above Max","None")))</x:f>
      </x:c>
      <x:c r="L158" s="36" t="str">
        <x:f>IF(J158="","",IF(J158="Out of Range","Yes","No"))</x:f>
      </x:c>
      <x:c r="M158" s="36"/>
      <x:c r="N158" s="36"/>
      <x:c r="O158" s="36"/>
      <x:c r="P158" s="36"/>
      <x:c r="Q158" s="36"/>
    </x:row>
    <x:row r="159" ht="15" hidden="0" customHeight="1">
      <x:c r="A159" s="36"/>
      <x:c r="B159" s="43"/>
      <x:c r="C159" s="36"/>
      <x:c r="D159" s="36"/>
      <x:c r="E159" s="36"/>
      <x:c r="F159" s="36"/>
      <x:c r="G159" s="39"/>
      <x:c r="H159" s="39"/>
      <x:c r="I159" s="39"/>
      <x:c r="J159" s="36" t="str">
        <x:f>IF(OR(I159="",G159="",H159=""),"",IF(AND(I159&gt;=G159,I159&lt;=H159),"Within Range","Out of Range"))</x:f>
      </x:c>
      <x:c r="K159" s="36" t="str">
        <x:f>IF(J159="","",IF(I159&lt;G159,"Below Min",IF(I159&gt;H159,"Above Max","None")))</x:f>
      </x:c>
      <x:c r="L159" s="36" t="str">
        <x:f>IF(J159="","",IF(J159="Out of Range","Yes","No"))</x:f>
      </x:c>
      <x:c r="M159" s="36"/>
      <x:c r="N159" s="36"/>
      <x:c r="O159" s="36"/>
      <x:c r="P159" s="36"/>
      <x:c r="Q159" s="36"/>
    </x:row>
    <x:row r="160" ht="15" hidden="0" customHeight="1">
      <x:c r="A160" s="36"/>
      <x:c r="B160" s="43"/>
      <x:c r="C160" s="36"/>
      <x:c r="D160" s="36"/>
      <x:c r="E160" s="36"/>
      <x:c r="F160" s="36"/>
      <x:c r="G160" s="39"/>
      <x:c r="H160" s="39"/>
      <x:c r="I160" s="39"/>
      <x:c r="J160" s="36" t="str">
        <x:f>IF(OR(I160="",G160="",H160=""),"",IF(AND(I160&gt;=G160,I160&lt;=H160),"Within Range","Out of Range"))</x:f>
      </x:c>
      <x:c r="K160" s="36" t="str">
        <x:f>IF(J160="","",IF(I160&lt;G160,"Below Min",IF(I160&gt;H160,"Above Max","None")))</x:f>
      </x:c>
      <x:c r="L160" s="36" t="str">
        <x:f>IF(J160="","",IF(J160="Out of Range","Yes","No"))</x:f>
      </x:c>
      <x:c r="M160" s="36"/>
      <x:c r="N160" s="36"/>
      <x:c r="O160" s="36"/>
      <x:c r="P160" s="36"/>
      <x:c r="Q160" s="36"/>
    </x:row>
    <x:row r="161" ht="15" hidden="0" customHeight="1">
      <x:c r="A161" s="36"/>
      <x:c r="B161" s="43"/>
      <x:c r="C161" s="36"/>
      <x:c r="D161" s="36"/>
      <x:c r="E161" s="36"/>
      <x:c r="F161" s="36"/>
      <x:c r="G161" s="39"/>
      <x:c r="H161" s="39"/>
      <x:c r="I161" s="39"/>
      <x:c r="J161" s="36" t="str">
        <x:f>IF(OR(I161="",G161="",H161=""),"",IF(AND(I161&gt;=G161,I161&lt;=H161),"Within Range","Out of Range"))</x:f>
      </x:c>
      <x:c r="K161" s="36" t="str">
        <x:f>IF(J161="","",IF(I161&lt;G161,"Below Min",IF(I161&gt;H161,"Above Max","None")))</x:f>
      </x:c>
      <x:c r="L161" s="36" t="str">
        <x:f>IF(J161="","",IF(J161="Out of Range","Yes","No"))</x:f>
      </x:c>
      <x:c r="M161" s="36"/>
      <x:c r="N161" s="36"/>
      <x:c r="O161" s="36"/>
      <x:c r="P161" s="36"/>
      <x:c r="Q161" s="36"/>
    </x:row>
    <x:row r="162" ht="15" hidden="0" customHeight="1">
      <x:c r="A162" s="36"/>
      <x:c r="B162" s="43"/>
      <x:c r="C162" s="36"/>
      <x:c r="D162" s="36"/>
      <x:c r="E162" s="36"/>
      <x:c r="F162" s="36"/>
      <x:c r="G162" s="39"/>
      <x:c r="H162" s="39"/>
      <x:c r="I162" s="39"/>
      <x:c r="J162" s="36" t="str">
        <x:f>IF(OR(I162="",G162="",H162=""),"",IF(AND(I162&gt;=G162,I162&lt;=H162),"Within Range","Out of Range"))</x:f>
      </x:c>
      <x:c r="K162" s="36" t="str">
        <x:f>IF(J162="","",IF(I162&lt;G162,"Below Min",IF(I162&gt;H162,"Above Max","None")))</x:f>
      </x:c>
      <x:c r="L162" s="36" t="str">
        <x:f>IF(J162="","",IF(J162="Out of Range","Yes","No"))</x:f>
      </x:c>
      <x:c r="M162" s="36"/>
      <x:c r="N162" s="36"/>
      <x:c r="O162" s="36"/>
      <x:c r="P162" s="36"/>
      <x:c r="Q162" s="36"/>
    </x:row>
    <x:row r="163" ht="15" hidden="0" customHeight="1">
      <x:c r="A163" s="36"/>
      <x:c r="B163" s="43"/>
      <x:c r="C163" s="36"/>
      <x:c r="D163" s="36"/>
      <x:c r="E163" s="36"/>
      <x:c r="F163" s="36"/>
      <x:c r="G163" s="39"/>
      <x:c r="H163" s="39"/>
      <x:c r="I163" s="39"/>
      <x:c r="J163" s="36" t="str">
        <x:f>IF(OR(I163="",G163="",H163=""),"",IF(AND(I163&gt;=G163,I163&lt;=H163),"Within Range","Out of Range"))</x:f>
      </x:c>
      <x:c r="K163" s="36" t="str">
        <x:f>IF(J163="","",IF(I163&lt;G163,"Below Min",IF(I163&gt;H163,"Above Max","None")))</x:f>
      </x:c>
      <x:c r="L163" s="36" t="str">
        <x:f>IF(J163="","",IF(J163="Out of Range","Yes","No"))</x:f>
      </x:c>
      <x:c r="M163" s="36"/>
      <x:c r="N163" s="36"/>
      <x:c r="O163" s="36"/>
      <x:c r="P163" s="36"/>
      <x:c r="Q163" s="36"/>
    </x:row>
    <x:row r="164" ht="15" hidden="0" customHeight="1">
      <x:c r="A164" s="36"/>
      <x:c r="B164" s="43"/>
      <x:c r="C164" s="36"/>
      <x:c r="D164" s="36"/>
      <x:c r="E164" s="36"/>
      <x:c r="F164" s="36"/>
      <x:c r="G164" s="39"/>
      <x:c r="H164" s="39"/>
      <x:c r="I164" s="39"/>
      <x:c r="J164" s="36" t="str">
        <x:f>IF(OR(I164="",G164="",H164=""),"",IF(AND(I164&gt;=G164,I164&lt;=H164),"Within Range","Out of Range"))</x:f>
      </x:c>
      <x:c r="K164" s="36" t="str">
        <x:f>IF(J164="","",IF(I164&lt;G164,"Below Min",IF(I164&gt;H164,"Above Max","None")))</x:f>
      </x:c>
      <x:c r="L164" s="36" t="str">
        <x:f>IF(J164="","",IF(J164="Out of Range","Yes","No"))</x:f>
      </x:c>
      <x:c r="M164" s="36"/>
      <x:c r="N164" s="36"/>
      <x:c r="O164" s="36"/>
      <x:c r="P164" s="36"/>
      <x:c r="Q164" s="36"/>
    </x:row>
    <x:row r="165" ht="15" hidden="0" customHeight="1">
      <x:c r="A165" s="36"/>
      <x:c r="B165" s="43"/>
      <x:c r="C165" s="36"/>
      <x:c r="D165" s="36"/>
      <x:c r="E165" s="36"/>
      <x:c r="F165" s="36"/>
      <x:c r="G165" s="39"/>
      <x:c r="H165" s="39"/>
      <x:c r="I165" s="39"/>
      <x:c r="J165" s="36" t="str">
        <x:f>IF(OR(I165="",G165="",H165=""),"",IF(AND(I165&gt;=G165,I165&lt;=H165),"Within Range","Out of Range"))</x:f>
      </x:c>
      <x:c r="K165" s="36" t="str">
        <x:f>IF(J165="","",IF(I165&lt;G165,"Below Min",IF(I165&gt;H165,"Above Max","None")))</x:f>
      </x:c>
      <x:c r="L165" s="36" t="str">
        <x:f>IF(J165="","",IF(J165="Out of Range","Yes","No"))</x:f>
      </x:c>
      <x:c r="M165" s="36"/>
      <x:c r="N165" s="36"/>
      <x:c r="O165" s="36"/>
      <x:c r="P165" s="36"/>
      <x:c r="Q165" s="36"/>
    </x:row>
    <x:row r="166" ht="15" hidden="0" customHeight="1">
      <x:c r="A166" s="36"/>
      <x:c r="B166" s="43"/>
      <x:c r="C166" s="36"/>
      <x:c r="D166" s="36"/>
      <x:c r="E166" s="36"/>
      <x:c r="F166" s="36"/>
      <x:c r="G166" s="39"/>
      <x:c r="H166" s="39"/>
      <x:c r="I166" s="39"/>
      <x:c r="J166" s="36" t="str">
        <x:f>IF(OR(I166="",G166="",H166=""),"",IF(AND(I166&gt;=G166,I166&lt;=H166),"Within Range","Out of Range"))</x:f>
      </x:c>
      <x:c r="K166" s="36" t="str">
        <x:f>IF(J166="","",IF(I166&lt;G166,"Below Min",IF(I166&gt;H166,"Above Max","None")))</x:f>
      </x:c>
      <x:c r="L166" s="36" t="str">
        <x:f>IF(J166="","",IF(J166="Out of Range","Yes","No"))</x:f>
      </x:c>
      <x:c r="M166" s="36"/>
      <x:c r="N166" s="36"/>
      <x:c r="O166" s="36"/>
      <x:c r="P166" s="36"/>
      <x:c r="Q166" s="36"/>
    </x:row>
    <x:row r="167" ht="15" hidden="0" customHeight="1">
      <x:c r="A167" s="36"/>
      <x:c r="B167" s="43"/>
      <x:c r="C167" s="36"/>
      <x:c r="D167" s="36"/>
      <x:c r="E167" s="36"/>
      <x:c r="F167" s="36"/>
      <x:c r="G167" s="39"/>
      <x:c r="H167" s="39"/>
      <x:c r="I167" s="39"/>
      <x:c r="J167" s="36" t="str">
        <x:f>IF(OR(I167="",G167="",H167=""),"",IF(AND(I167&gt;=G167,I167&lt;=H167),"Within Range","Out of Range"))</x:f>
      </x:c>
      <x:c r="K167" s="36" t="str">
        <x:f>IF(J167="","",IF(I167&lt;G167,"Below Min",IF(I167&gt;H167,"Above Max","None")))</x:f>
      </x:c>
      <x:c r="L167" s="36" t="str">
        <x:f>IF(J167="","",IF(J167="Out of Range","Yes","No"))</x:f>
      </x:c>
      <x:c r="M167" s="36"/>
      <x:c r="N167" s="36"/>
      <x:c r="O167" s="36"/>
      <x:c r="P167" s="36"/>
      <x:c r="Q167" s="36"/>
    </x:row>
    <x:row r="168" ht="15" hidden="0" customHeight="1">
      <x:c r="A168" s="36"/>
      <x:c r="B168" s="43"/>
      <x:c r="C168" s="36"/>
      <x:c r="D168" s="36"/>
      <x:c r="E168" s="36"/>
      <x:c r="F168" s="36"/>
      <x:c r="G168" s="39"/>
      <x:c r="H168" s="39"/>
      <x:c r="I168" s="39"/>
      <x:c r="J168" s="36" t="str">
        <x:f>IF(OR(I168="",G168="",H168=""),"",IF(AND(I168&gt;=G168,I168&lt;=H168),"Within Range","Out of Range"))</x:f>
      </x:c>
      <x:c r="K168" s="36" t="str">
        <x:f>IF(J168="","",IF(I168&lt;G168,"Below Min",IF(I168&gt;H168,"Above Max","None")))</x:f>
      </x:c>
      <x:c r="L168" s="36" t="str">
        <x:f>IF(J168="","",IF(J168="Out of Range","Yes","No"))</x:f>
      </x:c>
      <x:c r="M168" s="36"/>
      <x:c r="N168" s="36"/>
      <x:c r="O168" s="36"/>
      <x:c r="P168" s="36"/>
      <x:c r="Q168" s="36"/>
    </x:row>
    <x:row r="169" ht="15" hidden="0" customHeight="1">
      <x:c r="A169" s="36"/>
      <x:c r="B169" s="43"/>
      <x:c r="C169" s="36"/>
      <x:c r="D169" s="36"/>
      <x:c r="E169" s="36"/>
      <x:c r="F169" s="36"/>
      <x:c r="G169" s="39"/>
      <x:c r="H169" s="39"/>
      <x:c r="I169" s="39"/>
      <x:c r="J169" s="36" t="str">
        <x:f>IF(OR(I169="",G169="",H169=""),"",IF(AND(I169&gt;=G169,I169&lt;=H169),"Within Range","Out of Range"))</x:f>
      </x:c>
      <x:c r="K169" s="36" t="str">
        <x:f>IF(J169="","",IF(I169&lt;G169,"Below Min",IF(I169&gt;H169,"Above Max","None")))</x:f>
      </x:c>
      <x:c r="L169" s="36" t="str">
        <x:f>IF(J169="","",IF(J169="Out of Range","Yes","No"))</x:f>
      </x:c>
      <x:c r="M169" s="36"/>
      <x:c r="N169" s="36"/>
      <x:c r="O169" s="36"/>
      <x:c r="P169" s="36"/>
      <x:c r="Q169" s="36"/>
    </x:row>
    <x:row r="170" ht="15" hidden="0" customHeight="1">
      <x:c r="A170" s="36"/>
      <x:c r="B170" s="43"/>
      <x:c r="C170" s="36"/>
      <x:c r="D170" s="36"/>
      <x:c r="E170" s="36"/>
      <x:c r="F170" s="36"/>
      <x:c r="G170" s="39"/>
      <x:c r="H170" s="39"/>
      <x:c r="I170" s="39"/>
      <x:c r="J170" s="36" t="str">
        <x:f>IF(OR(I170="",G170="",H170=""),"",IF(AND(I170&gt;=G170,I170&lt;=H170),"Within Range","Out of Range"))</x:f>
      </x:c>
      <x:c r="K170" s="36" t="str">
        <x:f>IF(J170="","",IF(I170&lt;G170,"Below Min",IF(I170&gt;H170,"Above Max","None")))</x:f>
      </x:c>
      <x:c r="L170" s="36" t="str">
        <x:f>IF(J170="","",IF(J170="Out of Range","Yes","No"))</x:f>
      </x:c>
      <x:c r="M170" s="36"/>
      <x:c r="N170" s="36"/>
      <x:c r="O170" s="36"/>
      <x:c r="P170" s="36"/>
      <x:c r="Q170" s="36"/>
    </x:row>
    <x:row r="171" ht="15" hidden="0" customHeight="1">
      <x:c r="A171" s="36"/>
      <x:c r="B171" s="43"/>
      <x:c r="C171" s="36"/>
      <x:c r="D171" s="36"/>
      <x:c r="E171" s="36"/>
      <x:c r="F171" s="36"/>
      <x:c r="G171" s="39"/>
      <x:c r="H171" s="39"/>
      <x:c r="I171" s="39"/>
      <x:c r="J171" s="36" t="str">
        <x:f>IF(OR(I171="",G171="",H171=""),"",IF(AND(I171&gt;=G171,I171&lt;=H171),"Within Range","Out of Range"))</x:f>
      </x:c>
      <x:c r="K171" s="36" t="str">
        <x:f>IF(J171="","",IF(I171&lt;G171,"Below Min",IF(I171&gt;H171,"Above Max","None")))</x:f>
      </x:c>
      <x:c r="L171" s="36" t="str">
        <x:f>IF(J171="","",IF(J171="Out of Range","Yes","No"))</x:f>
      </x:c>
      <x:c r="M171" s="36"/>
      <x:c r="N171" s="36"/>
      <x:c r="O171" s="36"/>
      <x:c r="P171" s="36"/>
      <x:c r="Q171" s="36"/>
    </x:row>
    <x:row r="172" ht="15" hidden="0" customHeight="1">
      <x:c r="A172" s="36"/>
      <x:c r="B172" s="43"/>
      <x:c r="C172" s="36"/>
      <x:c r="D172" s="36"/>
      <x:c r="E172" s="36"/>
      <x:c r="F172" s="36"/>
      <x:c r="G172" s="39"/>
      <x:c r="H172" s="39"/>
      <x:c r="I172" s="39"/>
      <x:c r="J172" s="36" t="str">
        <x:f>IF(OR(I172="",G172="",H172=""),"",IF(AND(I172&gt;=G172,I172&lt;=H172),"Within Range","Out of Range"))</x:f>
      </x:c>
      <x:c r="K172" s="36" t="str">
        <x:f>IF(J172="","",IF(I172&lt;G172,"Below Min",IF(I172&gt;H172,"Above Max","None")))</x:f>
      </x:c>
      <x:c r="L172" s="36" t="str">
        <x:f>IF(J172="","",IF(J172="Out of Range","Yes","No"))</x:f>
      </x:c>
      <x:c r="M172" s="36"/>
      <x:c r="N172" s="36"/>
      <x:c r="O172" s="36"/>
      <x:c r="P172" s="36"/>
      <x:c r="Q172" s="36"/>
    </x:row>
    <x:row r="173" ht="15" hidden="0" customHeight="1">
      <x:c r="A173" s="36"/>
      <x:c r="B173" s="43"/>
      <x:c r="C173" s="36"/>
      <x:c r="D173" s="36"/>
      <x:c r="E173" s="36"/>
      <x:c r="F173" s="36"/>
      <x:c r="G173" s="39"/>
      <x:c r="H173" s="39"/>
      <x:c r="I173" s="39"/>
      <x:c r="J173" s="36" t="str">
        <x:f>IF(OR(I173="",G173="",H173=""),"",IF(AND(I173&gt;=G173,I173&lt;=H173),"Within Range","Out of Range"))</x:f>
      </x:c>
      <x:c r="K173" s="36" t="str">
        <x:f>IF(J173="","",IF(I173&lt;G173,"Below Min",IF(I173&gt;H173,"Above Max","None")))</x:f>
      </x:c>
      <x:c r="L173" s="36" t="str">
        <x:f>IF(J173="","",IF(J173="Out of Range","Yes","No"))</x:f>
      </x:c>
      <x:c r="M173" s="36"/>
      <x:c r="N173" s="36"/>
      <x:c r="O173" s="36"/>
      <x:c r="P173" s="36"/>
      <x:c r="Q173" s="36"/>
    </x:row>
    <x:row r="174" ht="15" hidden="0" customHeight="1">
      <x:c r="A174" s="36"/>
      <x:c r="B174" s="43"/>
      <x:c r="C174" s="36"/>
      <x:c r="D174" s="36"/>
      <x:c r="E174" s="36"/>
      <x:c r="F174" s="36"/>
      <x:c r="G174" s="39"/>
      <x:c r="H174" s="39"/>
      <x:c r="I174" s="39"/>
      <x:c r="J174" s="36" t="str">
        <x:f>IF(OR(I174="",G174="",H174=""),"",IF(AND(I174&gt;=G174,I174&lt;=H174),"Within Range","Out of Range"))</x:f>
      </x:c>
      <x:c r="K174" s="36" t="str">
        <x:f>IF(J174="","",IF(I174&lt;G174,"Below Min",IF(I174&gt;H174,"Above Max","None")))</x:f>
      </x:c>
      <x:c r="L174" s="36" t="str">
        <x:f>IF(J174="","",IF(J174="Out of Range","Yes","No"))</x:f>
      </x:c>
      <x:c r="M174" s="36"/>
      <x:c r="N174" s="36"/>
      <x:c r="O174" s="36"/>
      <x:c r="P174" s="36"/>
      <x:c r="Q174" s="36"/>
    </x:row>
    <x:row r="175" ht="15" hidden="0" customHeight="1">
      <x:c r="A175" s="36"/>
      <x:c r="B175" s="43"/>
      <x:c r="C175" s="36"/>
      <x:c r="D175" s="36"/>
      <x:c r="E175" s="36"/>
      <x:c r="F175" s="36"/>
      <x:c r="G175" s="39"/>
      <x:c r="H175" s="39"/>
      <x:c r="I175" s="39"/>
      <x:c r="J175" s="36" t="str">
        <x:f>IF(OR(I175="",G175="",H175=""),"",IF(AND(I175&gt;=G175,I175&lt;=H175),"Within Range","Out of Range"))</x:f>
      </x:c>
      <x:c r="K175" s="36" t="str">
        <x:f>IF(J175="","",IF(I175&lt;G175,"Below Min",IF(I175&gt;H175,"Above Max","None")))</x:f>
      </x:c>
      <x:c r="L175" s="36" t="str">
        <x:f>IF(J175="","",IF(J175="Out of Range","Yes","No"))</x:f>
      </x:c>
      <x:c r="M175" s="36"/>
      <x:c r="N175" s="36"/>
      <x:c r="O175" s="36"/>
      <x:c r="P175" s="36"/>
      <x:c r="Q175" s="36"/>
    </x:row>
    <x:row r="176" ht="15" hidden="0" customHeight="1">
      <x:c r="A176" s="36"/>
      <x:c r="B176" s="43"/>
      <x:c r="C176" s="36"/>
      <x:c r="D176" s="36"/>
      <x:c r="E176" s="36"/>
      <x:c r="F176" s="36"/>
      <x:c r="G176" s="39"/>
      <x:c r="H176" s="39"/>
      <x:c r="I176" s="39"/>
      <x:c r="J176" s="36" t="str">
        <x:f>IF(OR(I176="",G176="",H176=""),"",IF(AND(I176&gt;=G176,I176&lt;=H176),"Within Range","Out of Range"))</x:f>
      </x:c>
      <x:c r="K176" s="36" t="str">
        <x:f>IF(J176="","",IF(I176&lt;G176,"Below Min",IF(I176&gt;H176,"Above Max","None")))</x:f>
      </x:c>
      <x:c r="L176" s="36" t="str">
        <x:f>IF(J176="","",IF(J176="Out of Range","Yes","No"))</x:f>
      </x:c>
      <x:c r="M176" s="36"/>
      <x:c r="N176" s="36"/>
      <x:c r="O176" s="36"/>
      <x:c r="P176" s="36"/>
      <x:c r="Q176" s="36"/>
    </x:row>
    <x:row r="177" ht="15" hidden="0" customHeight="1">
      <x:c r="A177" s="36"/>
      <x:c r="B177" s="43"/>
      <x:c r="C177" s="36"/>
      <x:c r="D177" s="36"/>
      <x:c r="E177" s="36"/>
      <x:c r="F177" s="36"/>
      <x:c r="G177" s="39"/>
      <x:c r="H177" s="39"/>
      <x:c r="I177" s="39"/>
      <x:c r="J177" s="36" t="str">
        <x:f>IF(OR(I177="",G177="",H177=""),"",IF(AND(I177&gt;=G177,I177&lt;=H177),"Within Range","Out of Range"))</x:f>
      </x:c>
      <x:c r="K177" s="36" t="str">
        <x:f>IF(J177="","",IF(I177&lt;G177,"Below Min",IF(I177&gt;H177,"Above Max","None")))</x:f>
      </x:c>
      <x:c r="L177" s="36" t="str">
        <x:f>IF(J177="","",IF(J177="Out of Range","Yes","No"))</x:f>
      </x:c>
      <x:c r="M177" s="36"/>
      <x:c r="N177" s="36"/>
      <x:c r="O177" s="36"/>
      <x:c r="P177" s="36"/>
      <x:c r="Q177" s="36"/>
    </x:row>
    <x:row r="178" ht="15" hidden="0" customHeight="1">
      <x:c r="A178" s="36"/>
      <x:c r="B178" s="43"/>
      <x:c r="C178" s="36"/>
      <x:c r="D178" s="36"/>
      <x:c r="E178" s="36"/>
      <x:c r="F178" s="36"/>
      <x:c r="G178" s="39"/>
      <x:c r="H178" s="39"/>
      <x:c r="I178" s="39"/>
      <x:c r="J178" s="36" t="str">
        <x:f>IF(OR(I178="",G178="",H178=""),"",IF(AND(I178&gt;=G178,I178&lt;=H178),"Within Range","Out of Range"))</x:f>
      </x:c>
      <x:c r="K178" s="36" t="str">
        <x:f>IF(J178="","",IF(I178&lt;G178,"Below Min",IF(I178&gt;H178,"Above Max","None")))</x:f>
      </x:c>
      <x:c r="L178" s="36" t="str">
        <x:f>IF(J178="","",IF(J178="Out of Range","Yes","No"))</x:f>
      </x:c>
      <x:c r="M178" s="36"/>
      <x:c r="N178" s="36"/>
      <x:c r="O178" s="36"/>
      <x:c r="P178" s="36"/>
      <x:c r="Q178" s="36"/>
    </x:row>
    <x:row r="179" ht="15" hidden="0" customHeight="1">
      <x:c r="A179" s="36"/>
      <x:c r="B179" s="43"/>
      <x:c r="C179" s="36"/>
      <x:c r="D179" s="36"/>
      <x:c r="E179" s="36"/>
      <x:c r="F179" s="36"/>
      <x:c r="G179" s="39"/>
      <x:c r="H179" s="39"/>
      <x:c r="I179" s="39"/>
      <x:c r="J179" s="36" t="str">
        <x:f>IF(OR(I179="",G179="",H179=""),"",IF(AND(I179&gt;=G179,I179&lt;=H179),"Within Range","Out of Range"))</x:f>
      </x:c>
      <x:c r="K179" s="36" t="str">
        <x:f>IF(J179="","",IF(I179&lt;G179,"Below Min",IF(I179&gt;H179,"Above Max","None")))</x:f>
      </x:c>
      <x:c r="L179" s="36" t="str">
        <x:f>IF(J179="","",IF(J179="Out of Range","Yes","No"))</x:f>
      </x:c>
      <x:c r="M179" s="36"/>
      <x:c r="N179" s="36"/>
      <x:c r="O179" s="36"/>
      <x:c r="P179" s="36"/>
      <x:c r="Q179" s="36"/>
    </x:row>
    <x:row r="180" ht="15" hidden="0" customHeight="1">
      <x:c r="A180" s="36"/>
      <x:c r="B180" s="43"/>
      <x:c r="C180" s="36"/>
      <x:c r="D180" s="36"/>
      <x:c r="E180" s="36"/>
      <x:c r="F180" s="36"/>
      <x:c r="G180" s="39"/>
      <x:c r="H180" s="39"/>
      <x:c r="I180" s="39"/>
      <x:c r="J180" s="36" t="str">
        <x:f>IF(OR(I180="",G180="",H180=""),"",IF(AND(I180&gt;=G180,I180&lt;=H180),"Within Range","Out of Range"))</x:f>
      </x:c>
      <x:c r="K180" s="36" t="str">
        <x:f>IF(J180="","",IF(I180&lt;G180,"Below Min",IF(I180&gt;H180,"Above Max","None")))</x:f>
      </x:c>
      <x:c r="L180" s="36" t="str">
        <x:f>IF(J180="","",IF(J180="Out of Range","Yes","No"))</x:f>
      </x:c>
      <x:c r="M180" s="36"/>
      <x:c r="N180" s="36"/>
      <x:c r="O180" s="36"/>
      <x:c r="P180" s="36"/>
      <x:c r="Q180" s="36"/>
    </x:row>
    <x:row r="181" ht="15" hidden="0" customHeight="1">
      <x:c r="A181" s="36"/>
      <x:c r="B181" s="43"/>
      <x:c r="C181" s="36"/>
      <x:c r="D181" s="36"/>
      <x:c r="E181" s="36"/>
      <x:c r="F181" s="36"/>
      <x:c r="G181" s="39"/>
      <x:c r="H181" s="39"/>
      <x:c r="I181" s="39"/>
      <x:c r="J181" s="36" t="str">
        <x:f>IF(OR(I181="",G181="",H181=""),"",IF(AND(I181&gt;=G181,I181&lt;=H181),"Within Range","Out of Range"))</x:f>
      </x:c>
      <x:c r="K181" s="36" t="str">
        <x:f>IF(J181="","",IF(I181&lt;G181,"Below Min",IF(I181&gt;H181,"Above Max","None")))</x:f>
      </x:c>
      <x:c r="L181" s="36" t="str">
        <x:f>IF(J181="","",IF(J181="Out of Range","Yes","No"))</x:f>
      </x:c>
      <x:c r="M181" s="36"/>
      <x:c r="N181" s="36"/>
      <x:c r="O181" s="36"/>
      <x:c r="P181" s="36"/>
      <x:c r="Q181" s="36"/>
    </x:row>
    <x:row r="182" ht="15" hidden="0" customHeight="1">
      <x:c r="A182" s="36"/>
      <x:c r="B182" s="43"/>
      <x:c r="C182" s="36"/>
      <x:c r="D182" s="36"/>
      <x:c r="E182" s="36"/>
      <x:c r="F182" s="36"/>
      <x:c r="G182" s="39"/>
      <x:c r="H182" s="39"/>
      <x:c r="I182" s="39"/>
      <x:c r="J182" s="36" t="str">
        <x:f>IF(OR(I182="",G182="",H182=""),"",IF(AND(I182&gt;=G182,I182&lt;=H182),"Within Range","Out of Range"))</x:f>
      </x:c>
      <x:c r="K182" s="36" t="str">
        <x:f>IF(J182="","",IF(I182&lt;G182,"Below Min",IF(I182&gt;H182,"Above Max","None")))</x:f>
      </x:c>
      <x:c r="L182" s="36" t="str">
        <x:f>IF(J182="","",IF(J182="Out of Range","Yes","No"))</x:f>
      </x:c>
      <x:c r="M182" s="36"/>
      <x:c r="N182" s="36"/>
      <x:c r="O182" s="36"/>
      <x:c r="P182" s="36"/>
      <x:c r="Q182" s="36"/>
    </x:row>
    <x:row r="183" ht="15" hidden="0" customHeight="1">
      <x:c r="A183" s="36"/>
      <x:c r="B183" s="43"/>
      <x:c r="C183" s="36"/>
      <x:c r="D183" s="36"/>
      <x:c r="E183" s="36"/>
      <x:c r="F183" s="36"/>
      <x:c r="G183" s="39"/>
      <x:c r="H183" s="39"/>
      <x:c r="I183" s="39"/>
      <x:c r="J183" s="36" t="str">
        <x:f>IF(OR(I183="",G183="",H183=""),"",IF(AND(I183&gt;=G183,I183&lt;=H183),"Within Range","Out of Range"))</x:f>
      </x:c>
      <x:c r="K183" s="36" t="str">
        <x:f>IF(J183="","",IF(I183&lt;G183,"Below Min",IF(I183&gt;H183,"Above Max","None")))</x:f>
      </x:c>
      <x:c r="L183" s="36" t="str">
        <x:f>IF(J183="","",IF(J183="Out of Range","Yes","No"))</x:f>
      </x:c>
      <x:c r="M183" s="36"/>
      <x:c r="N183" s="36"/>
      <x:c r="O183" s="36"/>
      <x:c r="P183" s="36"/>
      <x:c r="Q183" s="36"/>
    </x:row>
    <x:row r="184" ht="15" hidden="0" customHeight="1">
      <x:c r="A184" s="36"/>
      <x:c r="B184" s="43"/>
      <x:c r="C184" s="36"/>
      <x:c r="D184" s="36"/>
      <x:c r="E184" s="36"/>
      <x:c r="F184" s="36"/>
      <x:c r="G184" s="39"/>
      <x:c r="H184" s="39"/>
      <x:c r="I184" s="39"/>
      <x:c r="J184" s="36" t="str">
        <x:f>IF(OR(I184="",G184="",H184=""),"",IF(AND(I184&gt;=G184,I184&lt;=H184),"Within Range","Out of Range"))</x:f>
      </x:c>
      <x:c r="K184" s="36" t="str">
        <x:f>IF(J184="","",IF(I184&lt;G184,"Below Min",IF(I184&gt;H184,"Above Max","None")))</x:f>
      </x:c>
      <x:c r="L184" s="36" t="str">
        <x:f>IF(J184="","",IF(J184="Out of Range","Yes","No"))</x:f>
      </x:c>
      <x:c r="M184" s="36"/>
      <x:c r="N184" s="36"/>
      <x:c r="O184" s="36"/>
      <x:c r="P184" s="36"/>
      <x:c r="Q184" s="36"/>
    </x:row>
    <x:row r="185" ht="15" hidden="0" customHeight="1">
      <x:c r="A185" s="36"/>
      <x:c r="B185" s="43"/>
      <x:c r="C185" s="36"/>
      <x:c r="D185" s="36"/>
      <x:c r="E185" s="36"/>
      <x:c r="F185" s="36"/>
      <x:c r="G185" s="39"/>
      <x:c r="H185" s="39"/>
      <x:c r="I185" s="39"/>
      <x:c r="J185" s="36" t="str">
        <x:f>IF(OR(I185="",G185="",H185=""),"",IF(AND(I185&gt;=G185,I185&lt;=H185),"Within Range","Out of Range"))</x:f>
      </x:c>
      <x:c r="K185" s="36" t="str">
        <x:f>IF(J185="","",IF(I185&lt;G185,"Below Min",IF(I185&gt;H185,"Above Max","None")))</x:f>
      </x:c>
      <x:c r="L185" s="36" t="str">
        <x:f>IF(J185="","",IF(J185="Out of Range","Yes","No"))</x:f>
      </x:c>
      <x:c r="M185" s="36"/>
      <x:c r="N185" s="36"/>
      <x:c r="O185" s="36"/>
      <x:c r="P185" s="36"/>
      <x:c r="Q185" s="36"/>
    </x:row>
    <x:row r="186" ht="15" hidden="0" customHeight="1">
      <x:c r="A186" s="36"/>
      <x:c r="B186" s="43"/>
      <x:c r="C186" s="36"/>
      <x:c r="D186" s="36"/>
      <x:c r="E186" s="36"/>
      <x:c r="F186" s="36"/>
      <x:c r="G186" s="39"/>
      <x:c r="H186" s="39"/>
      <x:c r="I186" s="39"/>
      <x:c r="J186" s="36" t="str">
        <x:f>IF(OR(I186="",G186="",H186=""),"",IF(AND(I186&gt;=G186,I186&lt;=H186),"Within Range","Out of Range"))</x:f>
      </x:c>
      <x:c r="K186" s="36" t="str">
        <x:f>IF(J186="","",IF(I186&lt;G186,"Below Min",IF(I186&gt;H186,"Above Max","None")))</x:f>
      </x:c>
      <x:c r="L186" s="36" t="str">
        <x:f>IF(J186="","",IF(J186="Out of Range","Yes","No"))</x:f>
      </x:c>
      <x:c r="M186" s="36"/>
      <x:c r="N186" s="36"/>
      <x:c r="O186" s="36"/>
      <x:c r="P186" s="36"/>
      <x:c r="Q186" s="36"/>
    </x:row>
    <x:row r="187" ht="15" hidden="0" customHeight="1">
      <x:c r="A187" s="36"/>
      <x:c r="B187" s="43"/>
      <x:c r="C187" s="36"/>
      <x:c r="D187" s="36"/>
      <x:c r="E187" s="36"/>
      <x:c r="F187" s="36"/>
      <x:c r="G187" s="39"/>
      <x:c r="H187" s="39"/>
      <x:c r="I187" s="39"/>
      <x:c r="J187" s="36" t="str">
        <x:f>IF(OR(I187="",G187="",H187=""),"",IF(AND(I187&gt;=G187,I187&lt;=H187),"Within Range","Out of Range"))</x:f>
      </x:c>
      <x:c r="K187" s="36" t="str">
        <x:f>IF(J187="","",IF(I187&lt;G187,"Below Min",IF(I187&gt;H187,"Above Max","None")))</x:f>
      </x:c>
      <x:c r="L187" s="36" t="str">
        <x:f>IF(J187="","",IF(J187="Out of Range","Yes","No"))</x:f>
      </x:c>
      <x:c r="M187" s="36"/>
      <x:c r="N187" s="36"/>
      <x:c r="O187" s="36"/>
      <x:c r="P187" s="36"/>
      <x:c r="Q187" s="36"/>
    </x:row>
    <x:row r="188" ht="15" hidden="0" customHeight="1">
      <x:c r="A188" s="36"/>
      <x:c r="B188" s="43"/>
      <x:c r="C188" s="36"/>
      <x:c r="D188" s="36"/>
      <x:c r="E188" s="36"/>
      <x:c r="F188" s="36"/>
      <x:c r="G188" s="39"/>
      <x:c r="H188" s="39"/>
      <x:c r="I188" s="39"/>
      <x:c r="J188" s="36" t="str">
        <x:f>IF(OR(I188="",G188="",H188=""),"",IF(AND(I188&gt;=G188,I188&lt;=H188),"Within Range","Out of Range"))</x:f>
      </x:c>
      <x:c r="K188" s="36" t="str">
        <x:f>IF(J188="","",IF(I188&lt;G188,"Below Min",IF(I188&gt;H188,"Above Max","None")))</x:f>
      </x:c>
      <x:c r="L188" s="36" t="str">
        <x:f>IF(J188="","",IF(J188="Out of Range","Yes","No"))</x:f>
      </x:c>
      <x:c r="M188" s="36"/>
      <x:c r="N188" s="36"/>
      <x:c r="O188" s="36"/>
      <x:c r="P188" s="36"/>
      <x:c r="Q188" s="36"/>
    </x:row>
    <x:row r="189" ht="15" hidden="0" customHeight="1">
      <x:c r="A189" s="36"/>
      <x:c r="B189" s="43"/>
      <x:c r="C189" s="36"/>
      <x:c r="D189" s="36"/>
      <x:c r="E189" s="36"/>
      <x:c r="F189" s="36"/>
      <x:c r="G189" s="39"/>
      <x:c r="H189" s="39"/>
      <x:c r="I189" s="39"/>
      <x:c r="J189" s="36" t="str">
        <x:f>IF(OR(I189="",G189="",H189=""),"",IF(AND(I189&gt;=G189,I189&lt;=H189),"Within Range","Out of Range"))</x:f>
      </x:c>
      <x:c r="K189" s="36" t="str">
        <x:f>IF(J189="","",IF(I189&lt;G189,"Below Min",IF(I189&gt;H189,"Above Max","None")))</x:f>
      </x:c>
      <x:c r="L189" s="36" t="str">
        <x:f>IF(J189="","",IF(J189="Out of Range","Yes","No"))</x:f>
      </x:c>
      <x:c r="M189" s="36"/>
      <x:c r="N189" s="36"/>
      <x:c r="O189" s="36"/>
      <x:c r="P189" s="36"/>
      <x:c r="Q189" s="36"/>
    </x:row>
    <x:row r="190" ht="15" hidden="0" customHeight="1">
      <x:c r="A190" s="36"/>
      <x:c r="B190" s="43"/>
      <x:c r="C190" s="36"/>
      <x:c r="D190" s="36"/>
      <x:c r="E190" s="36"/>
      <x:c r="F190" s="36"/>
      <x:c r="G190" s="39"/>
      <x:c r="H190" s="39"/>
      <x:c r="I190" s="39"/>
      <x:c r="J190" s="36" t="str">
        <x:f>IF(OR(I190="",G190="",H190=""),"",IF(AND(I190&gt;=G190,I190&lt;=H190),"Within Range","Out of Range"))</x:f>
      </x:c>
      <x:c r="K190" s="36" t="str">
        <x:f>IF(J190="","",IF(I190&lt;G190,"Below Min",IF(I190&gt;H190,"Above Max","None")))</x:f>
      </x:c>
      <x:c r="L190" s="36" t="str">
        <x:f>IF(J190="","",IF(J190="Out of Range","Yes","No"))</x:f>
      </x:c>
      <x:c r="M190" s="36"/>
      <x:c r="N190" s="36"/>
      <x:c r="O190" s="36"/>
      <x:c r="P190" s="36"/>
      <x:c r="Q190" s="36"/>
    </x:row>
    <x:row r="191" ht="15" hidden="0" customHeight="1">
      <x:c r="A191" s="36"/>
      <x:c r="B191" s="43"/>
      <x:c r="C191" s="36"/>
      <x:c r="D191" s="36"/>
      <x:c r="E191" s="36"/>
      <x:c r="F191" s="36"/>
      <x:c r="G191" s="39"/>
      <x:c r="H191" s="39"/>
      <x:c r="I191" s="39"/>
      <x:c r="J191" s="36" t="str">
        <x:f>IF(OR(I191="",G191="",H191=""),"",IF(AND(I191&gt;=G191,I191&lt;=H191),"Within Range","Out of Range"))</x:f>
      </x:c>
      <x:c r="K191" s="36" t="str">
        <x:f>IF(J191="","",IF(I191&lt;G191,"Below Min",IF(I191&gt;H191,"Above Max","None")))</x:f>
      </x:c>
      <x:c r="L191" s="36" t="str">
        <x:f>IF(J191="","",IF(J191="Out of Range","Yes","No"))</x:f>
      </x:c>
      <x:c r="M191" s="36"/>
      <x:c r="N191" s="36"/>
      <x:c r="O191" s="36"/>
      <x:c r="P191" s="36"/>
      <x:c r="Q191" s="36"/>
    </x:row>
    <x:row r="192" ht="15" hidden="0" customHeight="1">
      <x:c r="A192" s="36"/>
      <x:c r="B192" s="43"/>
      <x:c r="C192" s="36"/>
      <x:c r="D192" s="36"/>
      <x:c r="E192" s="36"/>
      <x:c r="F192" s="36"/>
      <x:c r="G192" s="39"/>
      <x:c r="H192" s="39"/>
      <x:c r="I192" s="39"/>
      <x:c r="J192" s="36" t="str">
        <x:f>IF(OR(I192="",G192="",H192=""),"",IF(AND(I192&gt;=G192,I192&lt;=H192),"Within Range","Out of Range"))</x:f>
      </x:c>
      <x:c r="K192" s="36" t="str">
        <x:f>IF(J192="","",IF(I192&lt;G192,"Below Min",IF(I192&gt;H192,"Above Max","None")))</x:f>
      </x:c>
      <x:c r="L192" s="36" t="str">
        <x:f>IF(J192="","",IF(J192="Out of Range","Yes","No"))</x:f>
      </x:c>
      <x:c r="M192" s="36"/>
      <x:c r="N192" s="36"/>
      <x:c r="O192" s="36"/>
      <x:c r="P192" s="36"/>
      <x:c r="Q192" s="36"/>
    </x:row>
    <x:row r="193" ht="15" hidden="0" customHeight="1">
      <x:c r="A193" s="36"/>
      <x:c r="B193" s="43"/>
      <x:c r="C193" s="36"/>
      <x:c r="D193" s="36"/>
      <x:c r="E193" s="36"/>
      <x:c r="F193" s="36"/>
      <x:c r="G193" s="39"/>
      <x:c r="H193" s="39"/>
      <x:c r="I193" s="39"/>
      <x:c r="J193" s="36" t="str">
        <x:f>IF(OR(I193="",G193="",H193=""),"",IF(AND(I193&gt;=G193,I193&lt;=H193),"Within Range","Out of Range"))</x:f>
      </x:c>
      <x:c r="K193" s="36" t="str">
        <x:f>IF(J193="","",IF(I193&lt;G193,"Below Min",IF(I193&gt;H193,"Above Max","None")))</x:f>
      </x:c>
      <x:c r="L193" s="36" t="str">
        <x:f>IF(J193="","",IF(J193="Out of Range","Yes","No"))</x:f>
      </x:c>
      <x:c r="M193" s="36"/>
      <x:c r="N193" s="36"/>
      <x:c r="O193" s="36"/>
      <x:c r="P193" s="36"/>
      <x:c r="Q193" s="36"/>
    </x:row>
    <x:row r="194" ht="15" hidden="0" customHeight="1">
      <x:c r="A194" s="36"/>
      <x:c r="B194" s="43"/>
      <x:c r="C194" s="36"/>
      <x:c r="D194" s="36"/>
      <x:c r="E194" s="36"/>
      <x:c r="F194" s="36"/>
      <x:c r="G194" s="39"/>
      <x:c r="H194" s="39"/>
      <x:c r="I194" s="39"/>
      <x:c r="J194" s="36" t="str">
        <x:f>IF(OR(I194="",G194="",H194=""),"",IF(AND(I194&gt;=G194,I194&lt;=H194),"Within Range","Out of Range"))</x:f>
      </x:c>
      <x:c r="K194" s="36" t="str">
        <x:f>IF(J194="","",IF(I194&lt;G194,"Below Min",IF(I194&gt;H194,"Above Max","None")))</x:f>
      </x:c>
      <x:c r="L194" s="36" t="str">
        <x:f>IF(J194="","",IF(J194="Out of Range","Yes","No"))</x:f>
      </x:c>
      <x:c r="M194" s="36"/>
      <x:c r="N194" s="36"/>
      <x:c r="O194" s="36"/>
      <x:c r="P194" s="36"/>
      <x:c r="Q194" s="36"/>
    </x:row>
    <x:row r="195" ht="15" hidden="0" customHeight="1">
      <x:c r="A195" s="36"/>
      <x:c r="B195" s="43"/>
      <x:c r="C195" s="36"/>
      <x:c r="D195" s="36"/>
      <x:c r="E195" s="36"/>
      <x:c r="F195" s="36"/>
      <x:c r="G195" s="39"/>
      <x:c r="H195" s="39"/>
      <x:c r="I195" s="39"/>
      <x:c r="J195" s="36" t="str">
        <x:f>IF(OR(I195="",G195="",H195=""),"",IF(AND(I195&gt;=G195,I195&lt;=H195),"Within Range","Out of Range"))</x:f>
      </x:c>
      <x:c r="K195" s="36" t="str">
        <x:f>IF(J195="","",IF(I195&lt;G195,"Below Min",IF(I195&gt;H195,"Above Max","None")))</x:f>
      </x:c>
      <x:c r="L195" s="36" t="str">
        <x:f>IF(J195="","",IF(J195="Out of Range","Yes","No"))</x:f>
      </x:c>
      <x:c r="M195" s="36"/>
      <x:c r="N195" s="36"/>
      <x:c r="O195" s="36"/>
      <x:c r="P195" s="36"/>
      <x:c r="Q195" s="36"/>
    </x:row>
    <x:row r="196" ht="15" hidden="0" customHeight="1">
      <x:c r="A196" s="36"/>
      <x:c r="B196" s="43"/>
      <x:c r="C196" s="36"/>
      <x:c r="D196" s="36"/>
      <x:c r="E196" s="36"/>
      <x:c r="F196" s="36"/>
      <x:c r="G196" s="39"/>
      <x:c r="H196" s="39"/>
      <x:c r="I196" s="39"/>
      <x:c r="J196" s="36" t="str">
        <x:f>IF(OR(I196="",G196="",H196=""),"",IF(AND(I196&gt;=G196,I196&lt;=H196),"Within Range","Out of Range"))</x:f>
      </x:c>
      <x:c r="K196" s="36" t="str">
        <x:f>IF(J196="","",IF(I196&lt;G196,"Below Min",IF(I196&gt;H196,"Above Max","None")))</x:f>
      </x:c>
      <x:c r="L196" s="36" t="str">
        <x:f>IF(J196="","",IF(J196="Out of Range","Yes","No"))</x:f>
      </x:c>
      <x:c r="M196" s="36"/>
      <x:c r="N196" s="36"/>
      <x:c r="O196" s="36"/>
      <x:c r="P196" s="36"/>
      <x:c r="Q196" s="36"/>
    </x:row>
    <x:row r="197" ht="15" hidden="0" customHeight="1">
      <x:c r="A197" s="36"/>
      <x:c r="B197" s="43"/>
      <x:c r="C197" s="36"/>
      <x:c r="D197" s="36"/>
      <x:c r="E197" s="36"/>
      <x:c r="F197" s="36"/>
      <x:c r="G197" s="39"/>
      <x:c r="H197" s="39"/>
      <x:c r="I197" s="39"/>
      <x:c r="J197" s="36" t="str">
        <x:f>IF(OR(I197="",G197="",H197=""),"",IF(AND(I197&gt;=G197,I197&lt;=H197),"Within Range","Out of Range"))</x:f>
      </x:c>
      <x:c r="K197" s="36" t="str">
        <x:f>IF(J197="","",IF(I197&lt;G197,"Below Min",IF(I197&gt;H197,"Above Max","None")))</x:f>
      </x:c>
      <x:c r="L197" s="36" t="str">
        <x:f>IF(J197="","",IF(J197="Out of Range","Yes","No"))</x:f>
      </x:c>
      <x:c r="M197" s="36"/>
      <x:c r="N197" s="36"/>
      <x:c r="O197" s="36"/>
      <x:c r="P197" s="36"/>
      <x:c r="Q197" s="36"/>
    </x:row>
    <x:row r="198" ht="15" hidden="0" customHeight="1">
      <x:c r="A198" s="36"/>
      <x:c r="B198" s="43"/>
      <x:c r="C198" s="36"/>
      <x:c r="D198" s="36"/>
      <x:c r="E198" s="36"/>
      <x:c r="F198" s="36"/>
      <x:c r="G198" s="39"/>
      <x:c r="H198" s="39"/>
      <x:c r="I198" s="39"/>
      <x:c r="J198" s="36" t="str">
        <x:f>IF(OR(I198="",G198="",H198=""),"",IF(AND(I198&gt;=G198,I198&lt;=H198),"Within Range","Out of Range"))</x:f>
      </x:c>
      <x:c r="K198" s="36" t="str">
        <x:f>IF(J198="","",IF(I198&lt;G198,"Below Min",IF(I198&gt;H198,"Above Max","None")))</x:f>
      </x:c>
      <x:c r="L198" s="36" t="str">
        <x:f>IF(J198="","",IF(J198="Out of Range","Yes","No"))</x:f>
      </x:c>
      <x:c r="M198" s="36"/>
      <x:c r="N198" s="36"/>
      <x:c r="O198" s="36"/>
      <x:c r="P198" s="36"/>
      <x:c r="Q198" s="36"/>
    </x:row>
    <x:row r="199" ht="15" hidden="0" customHeight="1">
      <x:c r="A199" s="36"/>
      <x:c r="B199" s="43"/>
      <x:c r="C199" s="36"/>
      <x:c r="D199" s="36"/>
      <x:c r="E199" s="36"/>
      <x:c r="F199" s="36"/>
      <x:c r="G199" s="39"/>
      <x:c r="H199" s="39"/>
      <x:c r="I199" s="39"/>
      <x:c r="J199" s="36" t="str">
        <x:f>IF(OR(I199="",G199="",H199=""),"",IF(AND(I199&gt;=G199,I199&lt;=H199),"Within Range","Out of Range"))</x:f>
      </x:c>
      <x:c r="K199" s="36" t="str">
        <x:f>IF(J199="","",IF(I199&lt;G199,"Below Min",IF(I199&gt;H199,"Above Max","None")))</x:f>
      </x:c>
      <x:c r="L199" s="36" t="str">
        <x:f>IF(J199="","",IF(J199="Out of Range","Yes","No"))</x:f>
      </x:c>
      <x:c r="M199" s="36"/>
      <x:c r="N199" s="36"/>
      <x:c r="O199" s="36"/>
      <x:c r="P199" s="36"/>
      <x:c r="Q199" s="36"/>
    </x:row>
    <x:row r="200" ht="15" hidden="0" customHeight="1">
      <x:c r="A200" s="36"/>
      <x:c r="B200" s="43"/>
      <x:c r="C200" s="36"/>
      <x:c r="D200" s="36"/>
      <x:c r="E200" s="36"/>
      <x:c r="F200" s="36"/>
      <x:c r="G200" s="39"/>
      <x:c r="H200" s="39"/>
      <x:c r="I200" s="39"/>
      <x:c r="J200" s="36" t="str">
        <x:f>IF(OR(I200="",G200="",H200=""),"",IF(AND(I200&gt;=G200,I200&lt;=H200),"Within Range","Out of Range"))</x:f>
      </x:c>
      <x:c r="K200" s="36" t="str">
        <x:f>IF(J200="","",IF(I200&lt;G200,"Below Min",IF(I200&gt;H200,"Above Max","None")))</x:f>
      </x:c>
      <x:c r="L200" s="36" t="str">
        <x:f>IF(J200="","",IF(J200="Out of Range","Yes","No"))</x:f>
      </x:c>
      <x:c r="M200" s="36"/>
      <x:c r="N200" s="36"/>
      <x:c r="O200" s="36"/>
      <x:c r="P200" s="36"/>
      <x:c r="Q200" s="36"/>
    </x:row>
    <x:row r="201" ht="15" hidden="0" customHeight="1">
      <x:c r="A201" s="36"/>
      <x:c r="B201" s="43"/>
      <x:c r="C201" s="36"/>
      <x:c r="D201" s="36"/>
      <x:c r="E201" s="36"/>
      <x:c r="F201" s="36"/>
      <x:c r="G201" s="39"/>
      <x:c r="H201" s="39"/>
      <x:c r="I201" s="39"/>
      <x:c r="J201" s="36" t="str">
        <x:f>IF(OR(I201="",G201="",H201=""),"",IF(AND(I201&gt;=G201,I201&lt;=H201),"Within Range","Out of Range"))</x:f>
      </x:c>
      <x:c r="K201" s="36" t="str">
        <x:f>IF(J201="","",IF(I201&lt;G201,"Below Min",IF(I201&gt;H201,"Above Max","None")))</x:f>
      </x:c>
      <x:c r="L201" s="36" t="str">
        <x:f>IF(J201="","",IF(J201="Out of Range","Yes","No"))</x:f>
      </x:c>
      <x:c r="M201" s="36"/>
      <x:c r="N201" s="36"/>
      <x:c r="O201" s="36"/>
      <x:c r="P201" s="36"/>
      <x:c r="Q201" s="36"/>
    </x:row>
    <x:row r="202" ht="15" hidden="0" customHeight="1">
      <x:c r="A202" s="36"/>
      <x:c r="B202" s="43"/>
      <x:c r="C202" s="36"/>
      <x:c r="D202" s="36"/>
      <x:c r="E202" s="36"/>
      <x:c r="F202" s="36"/>
      <x:c r="G202" s="39"/>
      <x:c r="H202" s="39"/>
      <x:c r="I202" s="39"/>
      <x:c r="J202" s="36" t="str">
        <x:f>IF(OR(I202="",G202="",H202=""),"",IF(AND(I202&gt;=G202,I202&lt;=H202),"Within Range","Out of Range"))</x:f>
      </x:c>
      <x:c r="K202" s="36" t="str">
        <x:f>IF(J202="","",IF(I202&lt;G202,"Below Min",IF(I202&gt;H202,"Above Max","None")))</x:f>
      </x:c>
      <x:c r="L202" s="36" t="str">
        <x:f>IF(J202="","",IF(J202="Out of Range","Yes","No"))</x:f>
      </x:c>
      <x:c r="M202" s="36"/>
      <x:c r="N202" s="36"/>
      <x:c r="O202" s="36"/>
      <x:c r="P202" s="36"/>
      <x:c r="Q202" s="36"/>
    </x:row>
    <x:row r="203" ht="15" hidden="0" customHeight="1">
      <x:c r="A203" s="36"/>
      <x:c r="B203" s="43"/>
      <x:c r="C203" s="36"/>
      <x:c r="D203" s="36"/>
      <x:c r="E203" s="36"/>
      <x:c r="F203" s="36"/>
      <x:c r="G203" s="39"/>
      <x:c r="H203" s="39"/>
      <x:c r="I203" s="39"/>
      <x:c r="J203" s="36" t="str">
        <x:f>IF(OR(I203="",G203="",H203=""),"",IF(AND(I203&gt;=G203,I203&lt;=H203),"Within Range","Out of Range"))</x:f>
      </x:c>
      <x:c r="K203" s="36" t="str">
        <x:f>IF(J203="","",IF(I203&lt;G203,"Below Min",IF(I203&gt;H203,"Above Max","None")))</x:f>
      </x:c>
      <x:c r="L203" s="36" t="str">
        <x:f>IF(J203="","",IF(J203="Out of Range","Yes","No"))</x:f>
      </x:c>
      <x:c r="M203" s="36"/>
      <x:c r="N203" s="36"/>
      <x:c r="O203" s="36"/>
      <x:c r="P203" s="36"/>
      <x:c r="Q203" s="36"/>
    </x:row>
    <x:row r="204" ht="15" hidden="0" customHeight="1">
      <x:c r="A204" s="36"/>
      <x:c r="B204" s="43"/>
      <x:c r="C204" s="36"/>
      <x:c r="D204" s="36"/>
      <x:c r="E204" s="36"/>
      <x:c r="F204" s="36"/>
      <x:c r="G204" s="39"/>
      <x:c r="H204" s="39"/>
      <x:c r="I204" s="39"/>
      <x:c r="J204" s="36" t="str">
        <x:f>IF(OR(I204="",G204="",H204=""),"",IF(AND(I204&gt;=G204,I204&lt;=H204),"Within Range","Out of Range"))</x:f>
      </x:c>
      <x:c r="K204" s="36" t="str">
        <x:f>IF(J204="","",IF(I204&lt;G204,"Below Min",IF(I204&gt;H204,"Above Max","None")))</x:f>
      </x:c>
      <x:c r="L204" s="36" t="str">
        <x:f>IF(J204="","",IF(J204="Out of Range","Yes","No"))</x:f>
      </x:c>
      <x:c r="M204" s="36"/>
      <x:c r="N204" s="36"/>
      <x:c r="O204" s="36"/>
      <x:c r="P204" s="36"/>
      <x:c r="Q204" s="36"/>
    </x:row>
  </x:sheetData>
  <x:mergeCells>
    <x:mergeCell ref="A1:Q1"/>
    <x:mergeCell ref="A2:Q2"/>
  </x:mergeCells>
  <x:conditionalFormatting sqref="J5:J204">
    <x:cfRule type="containsText" dxfId="0" priority="1" operator="containsText" text="Out of Range"/>
    <x:cfRule type="containsText" dxfId="1" priority="2" operator="containsText" text="Within Range"/>
  </x:conditionalFormatting>
  <x:conditionalFormatting sqref="P5:P204">
    <x:cfRule type="containsText" dxfId="2" priority="3" operator="containsText" text="On Hold"/>
    <x:cfRule type="containsText" dxfId="3" priority="4" operator="containsText" text="Rejected"/>
  </x:conditionalFormatting>
  <x:dataValidations count="4">
    <x:dataValidation type="list" sqref="C5:C204">
      <x:formula1>"Morning,Midday,Afternoon,Evening,Night"</x:formula1>
    </x:dataValidation>
    <x:dataValidation type="list" sqref="D5:D204">
      <x:formula1>"Receiving,Processing,Cold Room,Freezer Room,Warehouse,Dispatch,Refrigerated Vehicle,Ice Storage"</x:formula1>
    </x:dataValidation>
    <x:dataValidation type="list" sqref="O5:O204">
      <x:formula1>"Pending Verification,Verified,Rejected,Closed"</x:formula1>
    </x:dataValidation>
    <x:dataValidation type="list" sqref="P5:P204">
      <x:formula1>"Released,On Hold,Rejected,Pending QA Assessment"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731809f21f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42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15" hidden="0" customHeight="1">
      <x:c r="A1" s="33" t="str">
        <x:v>Cold Chain Corrective Action Log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15" hidden="0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</x:row>
    <x:row r="3" ht="15" hidden="0" customHeight="1">
      <x:c r="A3" s="37" t="str">
        <x:v>Corrective Action ID</x:v>
      </x:c>
      <x:c r="B3" s="37" t="str">
        <x:v>Linked Record ID</x:v>
      </x:c>
      <x:c r="C3" s="37" t="str">
        <x:v>Deviation Type</x:v>
      </x:c>
      <x:c r="D3" s="37" t="str">
        <x:v>Immediate Action</x:v>
      </x:c>
      <x:c r="E3" s="37" t="str">
        <x:v>Root Cause</x:v>
      </x:c>
      <x:c r="F3" s="37" t="str">
        <x:v>Preventive Action</x:v>
      </x:c>
      <x:c r="G3" s="37" t="str">
        <x:v>Owner</x:v>
      </x:c>
      <x:c r="H3" s="37" t="str">
        <x:v>Due Date</x:v>
      </x:c>
      <x:c r="I3" s="37" t="str">
        <x:v>Status</x:v>
      </x:c>
      <x:c r="J3" s="37" t="str">
        <x:v>Verification Evidence</x:v>
      </x:c>
    </x:row>
    <x:row r="4" ht="24" hidden="0" customHeight="1">
      <x:c r="A4" s="36" t="str">
        <x:v>CA-0001</x:v>
      </x:c>
      <x:c r="B4" s="36" t="str">
        <x:v>CCR-0003</x:v>
      </x:c>
      <x:c r="C4" s="36" t="str">
        <x:v>Above Max</x:v>
      </x:c>
      <x:c r="D4" s="36" t="str">
        <x:v>Product placed on QA hold; cold room door closed; temperature rechecked after 30 minutes.</x:v>
      </x:c>
      <x:c r="E4" s="36" t="str">
        <x:v>Door remained open during picking activity.</x:v>
      </x:c>
      <x:c r="F4" s="36" t="str">
        <x:v>Reinforce picking-time limit and door discipline during shift briefing.</x:v>
      </x:c>
      <x:c r="G4" s="36" t="str">
        <x:v>Operations Supervisor</x:v>
      </x:c>
      <x:c r="H4" s="45" t="n">
        <x:v>46224</x:v>
      </x:c>
      <x:c r="I4" s="36" t="str">
        <x:v>Open</x:v>
      </x:c>
      <x:c r="J4" s="36" t="str">
        <x:v>Pending QA verification and shift briefing record.</x:v>
      </x:c>
    </x:row>
    <x:row r="5" ht="24" hidden="0" customHeight="1">
      <x:c r="A5" s="36" t="str">
        <x:v>CA-0002</x:v>
      </x:c>
      <x:c r="B5" s="36" t="str">
        <x:v>CCR-0007</x:v>
      </x:c>
      <x:c r="C5" s="36" t="str">
        <x:v>Above Max</x:v>
      </x:c>
      <x:c r="D5" s="36" t="str">
        <x:v>Affected batch placed on hold; Maintenance notified; freezer temperature monitored every 30 minutes.</x:v>
      </x:c>
      <x:c r="E5" s="36" t="str">
        <x:v>Possible refrigeration performance issue.</x:v>
      </x:c>
      <x:c r="F5" s="36" t="str">
        <x:v>Maintenance inspection and alarm threshold review.</x:v>
      </x:c>
      <x:c r="G5" s="36" t="str">
        <x:v>Warehouse Lead</x:v>
      </x:c>
      <x:c r="H5" s="45" t="n">
        <x:v>46224</x:v>
      </x:c>
      <x:c r="I5" s="36" t="str">
        <x:v>Open</x:v>
      </x:c>
      <x:c r="J5" s="36" t="str">
        <x:v>Pending maintenance report and QA disposition.</x:v>
      </x:c>
    </x:row>
    <x:row r="6" ht="15" hidden="0" customHeight="1">
      <x:c r="A6" s="36"/>
      <x:c r="B6" s="36"/>
      <x:c r="C6" s="36"/>
      <x:c r="D6" s="36"/>
      <x:c r="E6" s="36"/>
      <x:c r="F6" s="36"/>
      <x:c r="G6" s="36"/>
      <x:c r="H6" s="45"/>
      <x:c r="I6" s="36"/>
      <x:c r="J6" s="36"/>
    </x:row>
    <x:row r="7" ht="15" hidden="0" customHeight="1">
      <x:c r="A7" s="36"/>
      <x:c r="B7" s="36"/>
      <x:c r="C7" s="36"/>
      <x:c r="D7" s="36"/>
      <x:c r="E7" s="36"/>
      <x:c r="F7" s="36"/>
      <x:c r="G7" s="36"/>
      <x:c r="H7" s="45"/>
      <x:c r="I7" s="36"/>
      <x:c r="J7" s="36"/>
    </x:row>
    <x:row r="8" ht="15" hidden="0" customHeight="1">
      <x:c r="A8" s="36"/>
      <x:c r="B8" s="36"/>
      <x:c r="C8" s="36"/>
      <x:c r="D8" s="36"/>
      <x:c r="E8" s="36"/>
      <x:c r="F8" s="36"/>
      <x:c r="G8" s="36"/>
      <x:c r="H8" s="45"/>
      <x:c r="I8" s="36"/>
      <x:c r="J8" s="36"/>
    </x:row>
    <x:row r="9" ht="15" hidden="0" customHeight="1">
      <x:c r="A9" s="36"/>
      <x:c r="B9" s="36"/>
      <x:c r="C9" s="36"/>
      <x:c r="D9" s="36"/>
      <x:c r="E9" s="36"/>
      <x:c r="F9" s="36"/>
      <x:c r="G9" s="36"/>
      <x:c r="H9" s="45"/>
      <x:c r="I9" s="36"/>
      <x:c r="J9" s="36"/>
    </x:row>
    <x:row r="10" ht="15" hidden="0" customHeight="1">
      <x:c r="A10" s="36"/>
      <x:c r="B10" s="36"/>
      <x:c r="C10" s="36"/>
      <x:c r="D10" s="36"/>
      <x:c r="E10" s="36"/>
      <x:c r="F10" s="36"/>
      <x:c r="G10" s="36"/>
      <x:c r="H10" s="45"/>
      <x:c r="I10" s="36"/>
      <x:c r="J10" s="36"/>
    </x:row>
    <x:row r="11" ht="15" hidden="0" customHeight="1">
      <x:c r="A11" s="36"/>
      <x:c r="B11" s="36"/>
      <x:c r="C11" s="36"/>
      <x:c r="D11" s="36"/>
      <x:c r="E11" s="36"/>
      <x:c r="F11" s="36"/>
      <x:c r="G11" s="36"/>
      <x:c r="H11" s="45"/>
      <x:c r="I11" s="36"/>
      <x:c r="J11" s="36"/>
    </x:row>
    <x:row r="12" ht="15" hidden="0" customHeight="1">
      <x:c r="A12" s="36"/>
      <x:c r="B12" s="36"/>
      <x:c r="C12" s="36"/>
      <x:c r="D12" s="36"/>
      <x:c r="E12" s="36"/>
      <x:c r="F12" s="36"/>
      <x:c r="G12" s="36"/>
      <x:c r="H12" s="45"/>
      <x:c r="I12" s="36"/>
      <x:c r="J12" s="36"/>
    </x:row>
    <x:row r="13" ht="15" hidden="0" customHeight="1">
      <x:c r="A13" s="36"/>
      <x:c r="B13" s="36"/>
      <x:c r="C13" s="36"/>
      <x:c r="D13" s="36"/>
      <x:c r="E13" s="36"/>
      <x:c r="F13" s="36"/>
      <x:c r="G13" s="36"/>
      <x:c r="H13" s="45"/>
      <x:c r="I13" s="36"/>
      <x:c r="J13" s="36"/>
    </x:row>
    <x:row r="14" ht="15" hidden="0" customHeight="1">
      <x:c r="A14" s="36"/>
      <x:c r="B14" s="36"/>
      <x:c r="C14" s="36"/>
      <x:c r="D14" s="36"/>
      <x:c r="E14" s="36"/>
      <x:c r="F14" s="36"/>
      <x:c r="G14" s="36"/>
      <x:c r="H14" s="45"/>
      <x:c r="I14" s="36"/>
      <x:c r="J14" s="36"/>
    </x:row>
    <x:row r="15" ht="15" hidden="0" customHeight="1">
      <x:c r="A15" s="36"/>
      <x:c r="B15" s="36"/>
      <x:c r="C15" s="36"/>
      <x:c r="D15" s="36"/>
      <x:c r="E15" s="36"/>
      <x:c r="F15" s="36"/>
      <x:c r="G15" s="36"/>
      <x:c r="H15" s="45"/>
      <x:c r="I15" s="36"/>
      <x:c r="J15" s="36"/>
    </x:row>
    <x:row r="16" ht="15" hidden="0" customHeight="1">
      <x:c r="A16" s="36"/>
      <x:c r="B16" s="36"/>
      <x:c r="C16" s="36"/>
      <x:c r="D16" s="36"/>
      <x:c r="E16" s="36"/>
      <x:c r="F16" s="36"/>
      <x:c r="G16" s="36"/>
      <x:c r="H16" s="45"/>
      <x:c r="I16" s="36"/>
      <x:c r="J16" s="36"/>
    </x:row>
    <x:row r="17" ht="15" hidden="0" customHeight="1">
      <x:c r="A17" s="36"/>
      <x:c r="B17" s="36"/>
      <x:c r="C17" s="36"/>
      <x:c r="D17" s="36"/>
      <x:c r="E17" s="36"/>
      <x:c r="F17" s="36"/>
      <x:c r="G17" s="36"/>
      <x:c r="H17" s="45"/>
      <x:c r="I17" s="36"/>
      <x:c r="J17" s="36"/>
    </x:row>
    <x:row r="18" ht="15" hidden="0" customHeight="1">
      <x:c r="A18" s="36"/>
      <x:c r="B18" s="36"/>
      <x:c r="C18" s="36"/>
      <x:c r="D18" s="36"/>
      <x:c r="E18" s="36"/>
      <x:c r="F18" s="36"/>
      <x:c r="G18" s="36"/>
      <x:c r="H18" s="45"/>
      <x:c r="I18" s="36"/>
      <x:c r="J18" s="36"/>
    </x:row>
    <x:row r="19" ht="15" hidden="0" customHeight="1">
      <x:c r="A19" s="36"/>
      <x:c r="B19" s="36"/>
      <x:c r="C19" s="36"/>
      <x:c r="D19" s="36"/>
      <x:c r="E19" s="36"/>
      <x:c r="F19" s="36"/>
      <x:c r="G19" s="36"/>
      <x:c r="H19" s="45"/>
      <x:c r="I19" s="36"/>
      <x:c r="J19" s="36"/>
    </x:row>
    <x:row r="20" ht="15" hidden="0" customHeight="1">
      <x:c r="A20" s="36"/>
      <x:c r="B20" s="36"/>
      <x:c r="C20" s="36"/>
      <x:c r="D20" s="36"/>
      <x:c r="E20" s="36"/>
      <x:c r="F20" s="36"/>
      <x:c r="G20" s="36"/>
      <x:c r="H20" s="45"/>
      <x:c r="I20" s="36"/>
      <x:c r="J20" s="36"/>
    </x:row>
    <x:row r="21" ht="15" hidden="0" customHeight="1">
      <x:c r="A21" s="36"/>
      <x:c r="B21" s="36"/>
      <x:c r="C21" s="36"/>
      <x:c r="D21" s="36"/>
      <x:c r="E21" s="36"/>
      <x:c r="F21" s="36"/>
      <x:c r="G21" s="36"/>
      <x:c r="H21" s="45"/>
      <x:c r="I21" s="36"/>
      <x:c r="J21" s="36"/>
    </x:row>
    <x:row r="22" ht="15" hidden="0" customHeight="1">
      <x:c r="A22" s="36"/>
      <x:c r="B22" s="36"/>
      <x:c r="C22" s="36"/>
      <x:c r="D22" s="36"/>
      <x:c r="E22" s="36"/>
      <x:c r="F22" s="36"/>
      <x:c r="G22" s="36"/>
      <x:c r="H22" s="45"/>
      <x:c r="I22" s="36"/>
      <x:c r="J22" s="36"/>
    </x:row>
    <x:row r="23" ht="15" hidden="0" customHeight="1">
      <x:c r="A23" s="36"/>
      <x:c r="B23" s="36"/>
      <x:c r="C23" s="36"/>
      <x:c r="D23" s="36"/>
      <x:c r="E23" s="36"/>
      <x:c r="F23" s="36"/>
      <x:c r="G23" s="36"/>
      <x:c r="H23" s="45"/>
      <x:c r="I23" s="36"/>
      <x:c r="J23" s="36"/>
    </x:row>
    <x:row r="24" ht="15" hidden="0" customHeight="1">
      <x:c r="A24" s="36"/>
      <x:c r="B24" s="36"/>
      <x:c r="C24" s="36"/>
      <x:c r="D24" s="36"/>
      <x:c r="E24" s="36"/>
      <x:c r="F24" s="36"/>
      <x:c r="G24" s="36"/>
      <x:c r="H24" s="45"/>
      <x:c r="I24" s="36"/>
      <x:c r="J24" s="36"/>
    </x:row>
    <x:row r="25" ht="15" hidden="0" customHeight="1">
      <x:c r="A25" s="36"/>
      <x:c r="B25" s="36"/>
      <x:c r="C25" s="36"/>
      <x:c r="D25" s="36"/>
      <x:c r="E25" s="36"/>
      <x:c r="F25" s="36"/>
      <x:c r="G25" s="36"/>
      <x:c r="H25" s="45"/>
      <x:c r="I25" s="36"/>
      <x:c r="J25" s="36"/>
    </x:row>
    <x:row r="26" ht="15" hidden="0" customHeight="1">
      <x:c r="A26" s="36"/>
      <x:c r="B26" s="36"/>
      <x:c r="C26" s="36"/>
      <x:c r="D26" s="36"/>
      <x:c r="E26" s="36"/>
      <x:c r="F26" s="36"/>
      <x:c r="G26" s="36"/>
      <x:c r="H26" s="45"/>
      <x:c r="I26" s="36"/>
      <x:c r="J26" s="36"/>
    </x:row>
    <x:row r="27" ht="15" hidden="0" customHeight="1">
      <x:c r="A27" s="36"/>
      <x:c r="B27" s="36"/>
      <x:c r="C27" s="36"/>
      <x:c r="D27" s="36"/>
      <x:c r="E27" s="36"/>
      <x:c r="F27" s="36"/>
      <x:c r="G27" s="36"/>
      <x:c r="H27" s="45"/>
      <x:c r="I27" s="36"/>
      <x:c r="J27" s="36"/>
    </x:row>
    <x:row r="28" ht="15" hidden="0" customHeight="1">
      <x:c r="A28" s="36"/>
      <x:c r="B28" s="36"/>
      <x:c r="C28" s="36"/>
      <x:c r="D28" s="36"/>
      <x:c r="E28" s="36"/>
      <x:c r="F28" s="36"/>
      <x:c r="G28" s="36"/>
      <x:c r="H28" s="45"/>
      <x:c r="I28" s="36"/>
      <x:c r="J28" s="36"/>
    </x:row>
    <x:row r="29" ht="15" hidden="0" customHeight="1">
      <x:c r="A29" s="36"/>
      <x:c r="B29" s="36"/>
      <x:c r="C29" s="36"/>
      <x:c r="D29" s="36"/>
      <x:c r="E29" s="36"/>
      <x:c r="F29" s="36"/>
      <x:c r="G29" s="36"/>
      <x:c r="H29" s="45"/>
      <x:c r="I29" s="36"/>
      <x:c r="J29" s="36"/>
    </x:row>
    <x:row r="30" ht="15" hidden="0" customHeight="1">
      <x:c r="A30" s="36"/>
      <x:c r="B30" s="36"/>
      <x:c r="C30" s="36"/>
      <x:c r="D30" s="36"/>
      <x:c r="E30" s="36"/>
      <x:c r="F30" s="36"/>
      <x:c r="G30" s="36"/>
      <x:c r="H30" s="45"/>
      <x:c r="I30" s="36"/>
      <x:c r="J30" s="36"/>
    </x:row>
    <x:row r="31" ht="15" hidden="0" customHeight="1">
      <x:c r="A31" s="36"/>
      <x:c r="B31" s="36"/>
      <x:c r="C31" s="36"/>
      <x:c r="D31" s="36"/>
      <x:c r="E31" s="36"/>
      <x:c r="F31" s="36"/>
      <x:c r="G31" s="36"/>
      <x:c r="H31" s="45"/>
      <x:c r="I31" s="36"/>
      <x:c r="J31" s="36"/>
    </x:row>
    <x:row r="32" ht="15" hidden="0" customHeight="1">
      <x:c r="A32" s="36"/>
      <x:c r="B32" s="36"/>
      <x:c r="C32" s="36"/>
      <x:c r="D32" s="36"/>
      <x:c r="E32" s="36"/>
      <x:c r="F32" s="36"/>
      <x:c r="G32" s="36"/>
      <x:c r="H32" s="45"/>
      <x:c r="I32" s="36"/>
      <x:c r="J32" s="36"/>
    </x:row>
    <x:row r="33" ht="15" hidden="0" customHeight="1">
      <x:c r="A33" s="36"/>
      <x:c r="B33" s="36"/>
      <x:c r="C33" s="36"/>
      <x:c r="D33" s="36"/>
      <x:c r="E33" s="36"/>
      <x:c r="F33" s="36"/>
      <x:c r="G33" s="36"/>
      <x:c r="H33" s="45"/>
      <x:c r="I33" s="36"/>
      <x:c r="J33" s="36"/>
    </x:row>
    <x:row r="34" ht="15" hidden="0" customHeight="1">
      <x:c r="A34" s="36"/>
      <x:c r="B34" s="36"/>
      <x:c r="C34" s="36"/>
      <x:c r="D34" s="36"/>
      <x:c r="E34" s="36"/>
      <x:c r="F34" s="36"/>
      <x:c r="G34" s="36"/>
      <x:c r="H34" s="45"/>
      <x:c r="I34" s="36"/>
      <x:c r="J34" s="36"/>
    </x:row>
    <x:row r="35" ht="15" hidden="0" customHeight="1">
      <x:c r="A35" s="36"/>
      <x:c r="B35" s="36"/>
      <x:c r="C35" s="36"/>
      <x:c r="D35" s="36"/>
      <x:c r="E35" s="36"/>
      <x:c r="F35" s="36"/>
      <x:c r="G35" s="36"/>
      <x:c r="H35" s="45"/>
      <x:c r="I35" s="36"/>
      <x:c r="J35" s="36"/>
    </x:row>
    <x:row r="36" ht="15" hidden="0" customHeight="1">
      <x:c r="A36" s="36"/>
      <x:c r="B36" s="36"/>
      <x:c r="C36" s="36"/>
      <x:c r="D36" s="36"/>
      <x:c r="E36" s="36"/>
      <x:c r="F36" s="36"/>
      <x:c r="G36" s="36"/>
      <x:c r="H36" s="45"/>
      <x:c r="I36" s="36"/>
      <x:c r="J36" s="36"/>
    </x:row>
    <x:row r="37" ht="15" hidden="0" customHeight="1">
      <x:c r="A37" s="36"/>
      <x:c r="B37" s="36"/>
      <x:c r="C37" s="36"/>
      <x:c r="D37" s="36"/>
      <x:c r="E37" s="36"/>
      <x:c r="F37" s="36"/>
      <x:c r="G37" s="36"/>
      <x:c r="H37" s="45"/>
      <x:c r="I37" s="36"/>
      <x:c r="J37" s="36"/>
    </x:row>
    <x:row r="38" ht="15" hidden="0" customHeight="1">
      <x:c r="A38" s="36"/>
      <x:c r="B38" s="36"/>
      <x:c r="C38" s="36"/>
      <x:c r="D38" s="36"/>
      <x:c r="E38" s="36"/>
      <x:c r="F38" s="36"/>
      <x:c r="G38" s="36"/>
      <x:c r="H38" s="45"/>
      <x:c r="I38" s="36"/>
      <x:c r="J38" s="36"/>
    </x:row>
    <x:row r="39" ht="15" hidden="0" customHeight="1">
      <x:c r="A39" s="36"/>
      <x:c r="B39" s="36"/>
      <x:c r="C39" s="36"/>
      <x:c r="D39" s="36"/>
      <x:c r="E39" s="36"/>
      <x:c r="F39" s="36"/>
      <x:c r="G39" s="36"/>
      <x:c r="H39" s="45"/>
      <x:c r="I39" s="36"/>
      <x:c r="J39" s="36"/>
    </x:row>
    <x:row r="40" ht="15" hidden="0" customHeight="1">
      <x:c r="A40" s="36"/>
      <x:c r="B40" s="36"/>
      <x:c r="C40" s="36"/>
      <x:c r="D40" s="36"/>
      <x:c r="E40" s="36"/>
      <x:c r="F40" s="36"/>
      <x:c r="G40" s="36"/>
      <x:c r="H40" s="45"/>
      <x:c r="I40" s="36"/>
      <x:c r="J40" s="36"/>
    </x:row>
    <x:row r="41" ht="15" hidden="0" customHeight="1">
      <x:c r="A41" s="36"/>
      <x:c r="B41" s="36"/>
      <x:c r="C41" s="36"/>
      <x:c r="D41" s="36"/>
      <x:c r="E41" s="36"/>
      <x:c r="F41" s="36"/>
      <x:c r="G41" s="36"/>
      <x:c r="H41" s="45"/>
      <x:c r="I41" s="36"/>
      <x:c r="J41" s="36"/>
    </x:row>
    <x:row r="42" ht="15" hidden="0" customHeight="1">
      <x:c r="A42" s="36"/>
      <x:c r="B42" s="36"/>
      <x:c r="C42" s="36"/>
      <x:c r="D42" s="36"/>
      <x:c r="E42" s="36"/>
      <x:c r="F42" s="36"/>
      <x:c r="G42" s="36"/>
      <x:c r="H42" s="45"/>
      <x:c r="I42" s="36"/>
      <x:c r="J42" s="36"/>
    </x:row>
    <x:row r="43" ht="15" hidden="0" customHeight="1">
      <x:c r="A43" s="36"/>
      <x:c r="B43" s="36"/>
      <x:c r="C43" s="36"/>
      <x:c r="D43" s="36"/>
      <x:c r="E43" s="36"/>
      <x:c r="F43" s="36"/>
      <x:c r="G43" s="36"/>
      <x:c r="H43" s="45"/>
      <x:c r="I43" s="36"/>
      <x:c r="J43" s="36"/>
    </x:row>
    <x:row r="44" ht="15" hidden="0" customHeight="1">
      <x:c r="A44" s="36"/>
      <x:c r="B44" s="36"/>
      <x:c r="C44" s="36"/>
      <x:c r="D44" s="36"/>
      <x:c r="E44" s="36"/>
      <x:c r="F44" s="36"/>
      <x:c r="G44" s="36"/>
      <x:c r="H44" s="45"/>
      <x:c r="I44" s="36"/>
      <x:c r="J44" s="36"/>
    </x:row>
    <x:row r="45" ht="15" hidden="0" customHeight="1">
      <x:c r="A45" s="36"/>
      <x:c r="B45" s="36"/>
      <x:c r="C45" s="36"/>
      <x:c r="D45" s="36"/>
      <x:c r="E45" s="36"/>
      <x:c r="F45" s="36"/>
      <x:c r="G45" s="36"/>
      <x:c r="H45" s="45"/>
      <x:c r="I45" s="36"/>
      <x:c r="J45" s="36"/>
    </x:row>
    <x:row r="46" ht="15" hidden="0" customHeight="1">
      <x:c r="A46" s="36"/>
      <x:c r="B46" s="36"/>
      <x:c r="C46" s="36"/>
      <x:c r="D46" s="36"/>
      <x:c r="E46" s="36"/>
      <x:c r="F46" s="36"/>
      <x:c r="G46" s="36"/>
      <x:c r="H46" s="45"/>
      <x:c r="I46" s="36"/>
      <x:c r="J46" s="36"/>
    </x:row>
    <x:row r="47" ht="15" hidden="0" customHeight="1">
      <x:c r="A47" s="36"/>
      <x:c r="B47" s="36"/>
      <x:c r="C47" s="36"/>
      <x:c r="D47" s="36"/>
      <x:c r="E47" s="36"/>
      <x:c r="F47" s="36"/>
      <x:c r="G47" s="36"/>
      <x:c r="H47" s="45"/>
      <x:c r="I47" s="36"/>
      <x:c r="J47" s="36"/>
    </x:row>
    <x:row r="48" ht="15" hidden="0" customHeight="1">
      <x:c r="A48" s="36"/>
      <x:c r="B48" s="36"/>
      <x:c r="C48" s="36"/>
      <x:c r="D48" s="36"/>
      <x:c r="E48" s="36"/>
      <x:c r="F48" s="36"/>
      <x:c r="G48" s="36"/>
      <x:c r="H48" s="45"/>
      <x:c r="I48" s="36"/>
      <x:c r="J48" s="36"/>
    </x:row>
    <x:row r="49" ht="15" hidden="0" customHeight="1">
      <x:c r="A49" s="36"/>
      <x:c r="B49" s="36"/>
      <x:c r="C49" s="36"/>
      <x:c r="D49" s="36"/>
      <x:c r="E49" s="36"/>
      <x:c r="F49" s="36"/>
      <x:c r="G49" s="36"/>
      <x:c r="H49" s="45"/>
      <x:c r="I49" s="36"/>
      <x:c r="J49" s="36"/>
    </x:row>
    <x:row r="50" ht="15" hidden="0" customHeight="1">
      <x:c r="A50" s="36"/>
      <x:c r="B50" s="36"/>
      <x:c r="C50" s="36"/>
      <x:c r="D50" s="36"/>
      <x:c r="E50" s="36"/>
      <x:c r="F50" s="36"/>
      <x:c r="G50" s="36"/>
      <x:c r="H50" s="45"/>
      <x:c r="I50" s="36"/>
      <x:c r="J50" s="36"/>
    </x:row>
    <x:row r="51" ht="15" hidden="0" customHeight="1">
      <x:c r="A51" s="36"/>
      <x:c r="B51" s="36"/>
      <x:c r="C51" s="36"/>
      <x:c r="D51" s="36"/>
      <x:c r="E51" s="36"/>
      <x:c r="F51" s="36"/>
      <x:c r="G51" s="36"/>
      <x:c r="H51" s="45"/>
      <x:c r="I51" s="36"/>
      <x:c r="J51" s="36"/>
    </x:row>
    <x:row r="52" ht="15" hidden="0" customHeight="1">
      <x:c r="A52" s="36"/>
      <x:c r="B52" s="36"/>
      <x:c r="C52" s="36"/>
      <x:c r="D52" s="36"/>
      <x:c r="E52" s="36"/>
      <x:c r="F52" s="36"/>
      <x:c r="G52" s="36"/>
      <x:c r="H52" s="45"/>
      <x:c r="I52" s="36"/>
      <x:c r="J52" s="36"/>
    </x:row>
    <x:row r="53" ht="15" hidden="0" customHeight="1">
      <x:c r="A53" s="36"/>
      <x:c r="B53" s="36"/>
      <x:c r="C53" s="36"/>
      <x:c r="D53" s="36"/>
      <x:c r="E53" s="36"/>
      <x:c r="F53" s="36"/>
      <x:c r="G53" s="36"/>
      <x:c r="H53" s="45"/>
      <x:c r="I53" s="36"/>
      <x:c r="J53" s="36"/>
    </x:row>
    <x:row r="54" ht="15" hidden="0" customHeight="1">
      <x:c r="A54" s="36"/>
      <x:c r="B54" s="36"/>
      <x:c r="C54" s="36"/>
      <x:c r="D54" s="36"/>
      <x:c r="E54" s="36"/>
      <x:c r="F54" s="36"/>
      <x:c r="G54" s="36"/>
      <x:c r="H54" s="45"/>
      <x:c r="I54" s="36"/>
      <x:c r="J54" s="36"/>
    </x:row>
    <x:row r="55" ht="15" hidden="0" customHeight="1">
      <x:c r="A55" s="36"/>
      <x:c r="B55" s="36"/>
      <x:c r="C55" s="36"/>
      <x:c r="D55" s="36"/>
      <x:c r="E55" s="36"/>
      <x:c r="F55" s="36"/>
      <x:c r="G55" s="36"/>
      <x:c r="H55" s="45"/>
      <x:c r="I55" s="36"/>
      <x:c r="J55" s="36"/>
    </x:row>
    <x:row r="56" ht="15" hidden="0" customHeight="1">
      <x:c r="A56" s="36"/>
      <x:c r="B56" s="36"/>
      <x:c r="C56" s="36"/>
      <x:c r="D56" s="36"/>
      <x:c r="E56" s="36"/>
      <x:c r="F56" s="36"/>
      <x:c r="G56" s="36"/>
      <x:c r="H56" s="45"/>
      <x:c r="I56" s="36"/>
      <x:c r="J56" s="36"/>
    </x:row>
    <x:row r="57" ht="15" hidden="0" customHeight="1">
      <x:c r="A57" s="36"/>
      <x:c r="B57" s="36"/>
      <x:c r="C57" s="36"/>
      <x:c r="D57" s="36"/>
      <x:c r="E57" s="36"/>
      <x:c r="F57" s="36"/>
      <x:c r="G57" s="36"/>
      <x:c r="H57" s="45"/>
      <x:c r="I57" s="36"/>
      <x:c r="J57" s="36"/>
    </x:row>
    <x:row r="58" ht="15" hidden="0" customHeight="1">
      <x:c r="A58" s="36"/>
      <x:c r="B58" s="36"/>
      <x:c r="C58" s="36"/>
      <x:c r="D58" s="36"/>
      <x:c r="E58" s="36"/>
      <x:c r="F58" s="36"/>
      <x:c r="G58" s="36"/>
      <x:c r="H58" s="45"/>
      <x:c r="I58" s="36"/>
      <x:c r="J58" s="36"/>
    </x:row>
    <x:row r="59" ht="15" hidden="0" customHeight="1">
      <x:c r="A59" s="36"/>
      <x:c r="B59" s="36"/>
      <x:c r="C59" s="36"/>
      <x:c r="D59" s="36"/>
      <x:c r="E59" s="36"/>
      <x:c r="F59" s="36"/>
      <x:c r="G59" s="36"/>
      <x:c r="H59" s="45"/>
      <x:c r="I59" s="36"/>
      <x:c r="J59" s="36"/>
    </x:row>
    <x:row r="60" ht="15" hidden="0" customHeight="1">
      <x:c r="A60" s="36"/>
      <x:c r="B60" s="36"/>
      <x:c r="C60" s="36"/>
      <x:c r="D60" s="36"/>
      <x:c r="E60" s="36"/>
      <x:c r="F60" s="36"/>
      <x:c r="G60" s="36"/>
      <x:c r="H60" s="45"/>
      <x:c r="I60" s="36"/>
      <x:c r="J60" s="36"/>
    </x:row>
    <x:row r="61" ht="15" hidden="0" customHeight="1">
      <x:c r="A61" s="36"/>
      <x:c r="B61" s="36"/>
      <x:c r="C61" s="36"/>
      <x:c r="D61" s="36"/>
      <x:c r="E61" s="36"/>
      <x:c r="F61" s="36"/>
      <x:c r="G61" s="36"/>
      <x:c r="H61" s="45"/>
      <x:c r="I61" s="36"/>
      <x:c r="J61" s="36"/>
    </x:row>
    <x:row r="62" ht="15" hidden="0" customHeight="1">
      <x:c r="A62" s="36"/>
      <x:c r="B62" s="36"/>
      <x:c r="C62" s="36"/>
      <x:c r="D62" s="36"/>
      <x:c r="E62" s="36"/>
      <x:c r="F62" s="36"/>
      <x:c r="G62" s="36"/>
      <x:c r="H62" s="45"/>
      <x:c r="I62" s="36"/>
      <x:c r="J62" s="36"/>
    </x:row>
    <x:row r="63" ht="15" hidden="0" customHeight="1">
      <x:c r="A63" s="36"/>
      <x:c r="B63" s="36"/>
      <x:c r="C63" s="36"/>
      <x:c r="D63" s="36"/>
      <x:c r="E63" s="36"/>
      <x:c r="F63" s="36"/>
      <x:c r="G63" s="36"/>
      <x:c r="H63" s="45"/>
      <x:c r="I63" s="36"/>
      <x:c r="J63" s="36"/>
    </x:row>
    <x:row r="64" ht="15" hidden="0" customHeight="1">
      <x:c r="A64" s="36"/>
      <x:c r="B64" s="36"/>
      <x:c r="C64" s="36"/>
      <x:c r="D64" s="36"/>
      <x:c r="E64" s="36"/>
      <x:c r="F64" s="36"/>
      <x:c r="G64" s="36"/>
      <x:c r="H64" s="45"/>
      <x:c r="I64" s="36"/>
      <x:c r="J64" s="36"/>
    </x:row>
    <x:row r="65" ht="15" hidden="0" customHeight="1">
      <x:c r="A65" s="36"/>
      <x:c r="B65" s="36"/>
      <x:c r="C65" s="36"/>
      <x:c r="D65" s="36"/>
      <x:c r="E65" s="36"/>
      <x:c r="F65" s="36"/>
      <x:c r="G65" s="36"/>
      <x:c r="H65" s="45"/>
      <x:c r="I65" s="36"/>
      <x:c r="J65" s="36"/>
    </x:row>
    <x:row r="66" ht="15" hidden="0" customHeight="1">
      <x:c r="A66" s="36"/>
      <x:c r="B66" s="36"/>
      <x:c r="C66" s="36"/>
      <x:c r="D66" s="36"/>
      <x:c r="E66" s="36"/>
      <x:c r="F66" s="36"/>
      <x:c r="G66" s="36"/>
      <x:c r="H66" s="45"/>
      <x:c r="I66" s="36"/>
      <x:c r="J66" s="36"/>
    </x:row>
    <x:row r="67" ht="15" hidden="0" customHeight="1">
      <x:c r="A67" s="36"/>
      <x:c r="B67" s="36"/>
      <x:c r="C67" s="36"/>
      <x:c r="D67" s="36"/>
      <x:c r="E67" s="36"/>
      <x:c r="F67" s="36"/>
      <x:c r="G67" s="36"/>
      <x:c r="H67" s="45"/>
      <x:c r="I67" s="36"/>
      <x:c r="J67" s="36"/>
    </x:row>
    <x:row r="68" ht="15" hidden="0" customHeight="1">
      <x:c r="A68" s="36"/>
      <x:c r="B68" s="36"/>
      <x:c r="C68" s="36"/>
      <x:c r="D68" s="36"/>
      <x:c r="E68" s="36"/>
      <x:c r="F68" s="36"/>
      <x:c r="G68" s="36"/>
      <x:c r="H68" s="45"/>
      <x:c r="I68" s="36"/>
      <x:c r="J68" s="36"/>
    </x:row>
    <x:row r="69" ht="15" hidden="0" customHeight="1">
      <x:c r="A69" s="36"/>
      <x:c r="B69" s="36"/>
      <x:c r="C69" s="36"/>
      <x:c r="D69" s="36"/>
      <x:c r="E69" s="36"/>
      <x:c r="F69" s="36"/>
      <x:c r="G69" s="36"/>
      <x:c r="H69" s="45"/>
      <x:c r="I69" s="36"/>
      <x:c r="J69" s="36"/>
    </x:row>
    <x:row r="70" ht="15" hidden="0" customHeight="1">
      <x:c r="A70" s="36"/>
      <x:c r="B70" s="36"/>
      <x:c r="C70" s="36"/>
      <x:c r="D70" s="36"/>
      <x:c r="E70" s="36"/>
      <x:c r="F70" s="36"/>
      <x:c r="G70" s="36"/>
      <x:c r="H70" s="45"/>
      <x:c r="I70" s="36"/>
      <x:c r="J70" s="36"/>
    </x:row>
    <x:row r="71" ht="15" hidden="0" customHeight="1">
      <x:c r="A71" s="36"/>
      <x:c r="B71" s="36"/>
      <x:c r="C71" s="36"/>
      <x:c r="D71" s="36"/>
      <x:c r="E71" s="36"/>
      <x:c r="F71" s="36"/>
      <x:c r="G71" s="36"/>
      <x:c r="H71" s="45"/>
      <x:c r="I71" s="36"/>
      <x:c r="J71" s="36"/>
    </x:row>
    <x:row r="72" ht="15" hidden="0" customHeight="1">
      <x:c r="A72" s="36"/>
      <x:c r="B72" s="36"/>
      <x:c r="C72" s="36"/>
      <x:c r="D72" s="36"/>
      <x:c r="E72" s="36"/>
      <x:c r="F72" s="36"/>
      <x:c r="G72" s="36"/>
      <x:c r="H72" s="45"/>
      <x:c r="I72" s="36"/>
      <x:c r="J72" s="36"/>
    </x:row>
    <x:row r="73" ht="15" hidden="0" customHeight="1">
      <x:c r="A73" s="36"/>
      <x:c r="B73" s="36"/>
      <x:c r="C73" s="36"/>
      <x:c r="D73" s="36"/>
      <x:c r="E73" s="36"/>
      <x:c r="F73" s="36"/>
      <x:c r="G73" s="36"/>
      <x:c r="H73" s="45"/>
      <x:c r="I73" s="36"/>
      <x:c r="J73" s="36"/>
    </x:row>
    <x:row r="74" ht="15" hidden="0" customHeight="1">
      <x:c r="A74" s="36"/>
      <x:c r="B74" s="36"/>
      <x:c r="C74" s="36"/>
      <x:c r="D74" s="36"/>
      <x:c r="E74" s="36"/>
      <x:c r="F74" s="36"/>
      <x:c r="G74" s="36"/>
      <x:c r="H74" s="45"/>
      <x:c r="I74" s="36"/>
      <x:c r="J74" s="36"/>
    </x:row>
    <x:row r="75" ht="15" hidden="0" customHeight="1">
      <x:c r="A75" s="36"/>
      <x:c r="B75" s="36"/>
      <x:c r="C75" s="36"/>
      <x:c r="D75" s="36"/>
      <x:c r="E75" s="36"/>
      <x:c r="F75" s="36"/>
      <x:c r="G75" s="36"/>
      <x:c r="H75" s="45"/>
      <x:c r="I75" s="36"/>
      <x:c r="J75" s="36"/>
    </x:row>
    <x:row r="76" ht="15" hidden="0" customHeight="1">
      <x:c r="A76" s="36"/>
      <x:c r="B76" s="36"/>
      <x:c r="C76" s="36"/>
      <x:c r="D76" s="36"/>
      <x:c r="E76" s="36"/>
      <x:c r="F76" s="36"/>
      <x:c r="G76" s="36"/>
      <x:c r="H76" s="45"/>
      <x:c r="I76" s="36"/>
      <x:c r="J76" s="36"/>
    </x:row>
    <x:row r="77" ht="15" hidden="0" customHeight="1">
      <x:c r="A77" s="36"/>
      <x:c r="B77" s="36"/>
      <x:c r="C77" s="36"/>
      <x:c r="D77" s="36"/>
      <x:c r="E77" s="36"/>
      <x:c r="F77" s="36"/>
      <x:c r="G77" s="36"/>
      <x:c r="H77" s="45"/>
      <x:c r="I77" s="36"/>
      <x:c r="J77" s="36"/>
    </x:row>
    <x:row r="78" ht="15" hidden="0" customHeight="1">
      <x:c r="A78" s="36"/>
      <x:c r="B78" s="36"/>
      <x:c r="C78" s="36"/>
      <x:c r="D78" s="36"/>
      <x:c r="E78" s="36"/>
      <x:c r="F78" s="36"/>
      <x:c r="G78" s="36"/>
      <x:c r="H78" s="45"/>
      <x:c r="I78" s="36"/>
      <x:c r="J78" s="36"/>
    </x:row>
    <x:row r="79" ht="15" hidden="0" customHeight="1">
      <x:c r="A79" s="36"/>
      <x:c r="B79" s="36"/>
      <x:c r="C79" s="36"/>
      <x:c r="D79" s="36"/>
      <x:c r="E79" s="36"/>
      <x:c r="F79" s="36"/>
      <x:c r="G79" s="36"/>
      <x:c r="H79" s="45"/>
      <x:c r="I79" s="36"/>
      <x:c r="J79" s="36"/>
    </x:row>
    <x:row r="80" ht="15" hidden="0" customHeight="1">
      <x:c r="A80" s="36"/>
      <x:c r="B80" s="36"/>
      <x:c r="C80" s="36"/>
      <x:c r="D80" s="36"/>
      <x:c r="E80" s="36"/>
      <x:c r="F80" s="36"/>
      <x:c r="G80" s="36"/>
      <x:c r="H80" s="45"/>
      <x:c r="I80" s="36"/>
      <x:c r="J80" s="36"/>
    </x:row>
    <x:row r="81" ht="15" hidden="0" customHeight="1">
      <x:c r="A81" s="36"/>
      <x:c r="B81" s="36"/>
      <x:c r="C81" s="36"/>
      <x:c r="D81" s="36"/>
      <x:c r="E81" s="36"/>
      <x:c r="F81" s="36"/>
      <x:c r="G81" s="36"/>
      <x:c r="H81" s="45"/>
      <x:c r="I81" s="36"/>
      <x:c r="J81" s="36"/>
    </x:row>
    <x:row r="82" ht="15" hidden="0" customHeight="1">
      <x:c r="A82" s="36"/>
      <x:c r="B82" s="36"/>
      <x:c r="C82" s="36"/>
      <x:c r="D82" s="36"/>
      <x:c r="E82" s="36"/>
      <x:c r="F82" s="36"/>
      <x:c r="G82" s="36"/>
      <x:c r="H82" s="45"/>
      <x:c r="I82" s="36"/>
      <x:c r="J82" s="36"/>
    </x:row>
    <x:row r="83" ht="15" hidden="0" customHeight="1">
      <x:c r="A83" s="36"/>
      <x:c r="B83" s="36"/>
      <x:c r="C83" s="36"/>
      <x:c r="D83" s="36"/>
      <x:c r="E83" s="36"/>
      <x:c r="F83" s="36"/>
      <x:c r="G83" s="36"/>
      <x:c r="H83" s="45"/>
      <x:c r="I83" s="36"/>
      <x:c r="J83" s="36"/>
    </x:row>
    <x:row r="84" ht="15" hidden="0" customHeight="1">
      <x:c r="A84" s="36"/>
      <x:c r="B84" s="36"/>
      <x:c r="C84" s="36"/>
      <x:c r="D84" s="36"/>
      <x:c r="E84" s="36"/>
      <x:c r="F84" s="36"/>
      <x:c r="G84" s="36"/>
      <x:c r="H84" s="45"/>
      <x:c r="I84" s="36"/>
      <x:c r="J84" s="36"/>
    </x:row>
    <x:row r="85" ht="15" hidden="0" customHeight="1">
      <x:c r="A85" s="36"/>
      <x:c r="B85" s="36"/>
      <x:c r="C85" s="36"/>
      <x:c r="D85" s="36"/>
      <x:c r="E85" s="36"/>
      <x:c r="F85" s="36"/>
      <x:c r="G85" s="36"/>
      <x:c r="H85" s="45"/>
      <x:c r="I85" s="36"/>
      <x:c r="J85" s="36"/>
    </x:row>
    <x:row r="86" ht="15" hidden="0" customHeight="1">
      <x:c r="A86" s="36"/>
      <x:c r="B86" s="36"/>
      <x:c r="C86" s="36"/>
      <x:c r="D86" s="36"/>
      <x:c r="E86" s="36"/>
      <x:c r="F86" s="36"/>
      <x:c r="G86" s="36"/>
      <x:c r="H86" s="45"/>
      <x:c r="I86" s="36"/>
      <x:c r="J86" s="36"/>
    </x:row>
    <x:row r="87" ht="15" hidden="0" customHeight="1">
      <x:c r="A87" s="36"/>
      <x:c r="B87" s="36"/>
      <x:c r="C87" s="36"/>
      <x:c r="D87" s="36"/>
      <x:c r="E87" s="36"/>
      <x:c r="F87" s="36"/>
      <x:c r="G87" s="36"/>
      <x:c r="H87" s="45"/>
      <x:c r="I87" s="36"/>
      <x:c r="J87" s="36"/>
    </x:row>
    <x:row r="88" ht="15" hidden="0" customHeight="1">
      <x:c r="A88" s="36"/>
      <x:c r="B88" s="36"/>
      <x:c r="C88" s="36"/>
      <x:c r="D88" s="36"/>
      <x:c r="E88" s="36"/>
      <x:c r="F88" s="36"/>
      <x:c r="G88" s="36"/>
      <x:c r="H88" s="45"/>
      <x:c r="I88" s="36"/>
      <x:c r="J88" s="36"/>
    </x:row>
    <x:row r="89" ht="15" hidden="0" customHeight="1">
      <x:c r="A89" s="36"/>
      <x:c r="B89" s="36"/>
      <x:c r="C89" s="36"/>
      <x:c r="D89" s="36"/>
      <x:c r="E89" s="36"/>
      <x:c r="F89" s="36"/>
      <x:c r="G89" s="36"/>
      <x:c r="H89" s="45"/>
      <x:c r="I89" s="36"/>
      <x:c r="J89" s="36"/>
    </x:row>
    <x:row r="90" ht="15" hidden="0" customHeight="1">
      <x:c r="A90" s="36"/>
      <x:c r="B90" s="36"/>
      <x:c r="C90" s="36"/>
      <x:c r="D90" s="36"/>
      <x:c r="E90" s="36"/>
      <x:c r="F90" s="36"/>
      <x:c r="G90" s="36"/>
      <x:c r="H90" s="45"/>
      <x:c r="I90" s="36"/>
      <x:c r="J90" s="36"/>
    </x:row>
    <x:row r="91" ht="15" hidden="0" customHeight="1">
      <x:c r="A91" s="36"/>
      <x:c r="B91" s="36"/>
      <x:c r="C91" s="36"/>
      <x:c r="D91" s="36"/>
      <x:c r="E91" s="36"/>
      <x:c r="F91" s="36"/>
      <x:c r="G91" s="36"/>
      <x:c r="H91" s="45"/>
      <x:c r="I91" s="36"/>
      <x:c r="J91" s="36"/>
    </x:row>
    <x:row r="92" ht="15" hidden="0" customHeight="1">
      <x:c r="A92" s="36"/>
      <x:c r="B92" s="36"/>
      <x:c r="C92" s="36"/>
      <x:c r="D92" s="36"/>
      <x:c r="E92" s="36"/>
      <x:c r="F92" s="36"/>
      <x:c r="G92" s="36"/>
      <x:c r="H92" s="45"/>
      <x:c r="I92" s="36"/>
      <x:c r="J92" s="36"/>
    </x:row>
    <x:row r="93" ht="15" hidden="0" customHeight="1">
      <x:c r="A93" s="36"/>
      <x:c r="B93" s="36"/>
      <x:c r="C93" s="36"/>
      <x:c r="D93" s="36"/>
      <x:c r="E93" s="36"/>
      <x:c r="F93" s="36"/>
      <x:c r="G93" s="36"/>
      <x:c r="H93" s="45"/>
      <x:c r="I93" s="36"/>
      <x:c r="J93" s="36"/>
    </x:row>
    <x:row r="94" ht="15" hidden="0" customHeight="1">
      <x:c r="A94" s="36"/>
      <x:c r="B94" s="36"/>
      <x:c r="C94" s="36"/>
      <x:c r="D94" s="36"/>
      <x:c r="E94" s="36"/>
      <x:c r="F94" s="36"/>
      <x:c r="G94" s="36"/>
      <x:c r="H94" s="45"/>
      <x:c r="I94" s="36"/>
      <x:c r="J94" s="36"/>
    </x:row>
    <x:row r="95" ht="15" hidden="0" customHeight="1">
      <x:c r="A95" s="36"/>
      <x:c r="B95" s="36"/>
      <x:c r="C95" s="36"/>
      <x:c r="D95" s="36"/>
      <x:c r="E95" s="36"/>
      <x:c r="F95" s="36"/>
      <x:c r="G95" s="36"/>
      <x:c r="H95" s="45"/>
      <x:c r="I95" s="36"/>
      <x:c r="J95" s="36"/>
    </x:row>
    <x:row r="96" ht="15" hidden="0" customHeight="1">
      <x:c r="A96" s="36"/>
      <x:c r="B96" s="36"/>
      <x:c r="C96" s="36"/>
      <x:c r="D96" s="36"/>
      <x:c r="E96" s="36"/>
      <x:c r="F96" s="36"/>
      <x:c r="G96" s="36"/>
      <x:c r="H96" s="45"/>
      <x:c r="I96" s="36"/>
      <x:c r="J96" s="36"/>
    </x:row>
    <x:row r="97" ht="15" hidden="0" customHeight="1">
      <x:c r="A97" s="36"/>
      <x:c r="B97" s="36"/>
      <x:c r="C97" s="36"/>
      <x:c r="D97" s="36"/>
      <x:c r="E97" s="36"/>
      <x:c r="F97" s="36"/>
      <x:c r="G97" s="36"/>
      <x:c r="H97" s="45"/>
      <x:c r="I97" s="36"/>
      <x:c r="J97" s="36"/>
    </x:row>
    <x:row r="98" ht="15" hidden="0" customHeight="1">
      <x:c r="A98" s="36"/>
      <x:c r="B98" s="36"/>
      <x:c r="C98" s="36"/>
      <x:c r="D98" s="36"/>
      <x:c r="E98" s="36"/>
      <x:c r="F98" s="36"/>
      <x:c r="G98" s="36"/>
      <x:c r="H98" s="45"/>
      <x:c r="I98" s="36"/>
      <x:c r="J98" s="36"/>
    </x:row>
    <x:row r="99" ht="15" hidden="0" customHeight="1">
      <x:c r="A99" s="36"/>
      <x:c r="B99" s="36"/>
      <x:c r="C99" s="36"/>
      <x:c r="D99" s="36"/>
      <x:c r="E99" s="36"/>
      <x:c r="F99" s="36"/>
      <x:c r="G99" s="36"/>
      <x:c r="H99" s="45"/>
      <x:c r="I99" s="36"/>
      <x:c r="J99" s="36"/>
    </x:row>
    <x:row r="100" ht="15" hidden="0" customHeight="1">
      <x:c r="A100" s="36"/>
      <x:c r="B100" s="36"/>
      <x:c r="C100" s="36"/>
      <x:c r="D100" s="36"/>
      <x:c r="E100" s="36"/>
      <x:c r="F100" s="36"/>
      <x:c r="G100" s="36"/>
      <x:c r="H100" s="45"/>
      <x:c r="I100" s="36"/>
      <x:c r="J100" s="36"/>
    </x:row>
    <x:row r="101" ht="15" hidden="0" customHeight="1">
      <x:c r="A101" s="36"/>
      <x:c r="B101" s="36"/>
      <x:c r="C101" s="36"/>
      <x:c r="D101" s="36"/>
      <x:c r="E101" s="36"/>
      <x:c r="F101" s="36"/>
      <x:c r="G101" s="36"/>
      <x:c r="H101" s="45"/>
      <x:c r="I101" s="36"/>
      <x:c r="J101" s="36"/>
    </x:row>
    <x:row r="102" ht="15" hidden="0" customHeight="1">
      <x:c r="A102" s="36"/>
      <x:c r="B102" s="36"/>
      <x:c r="C102" s="36"/>
      <x:c r="D102" s="36"/>
      <x:c r="E102" s="36"/>
      <x:c r="F102" s="36"/>
      <x:c r="G102" s="36"/>
      <x:c r="H102" s="45"/>
      <x:c r="I102" s="36"/>
      <x:c r="J102" s="36"/>
    </x:row>
    <x:row r="103" ht="15" hidden="0" customHeight="1">
      <x:c r="A103" s="36"/>
      <x:c r="B103" s="36"/>
      <x:c r="C103" s="36"/>
      <x:c r="D103" s="36"/>
      <x:c r="E103" s="36"/>
      <x:c r="F103" s="36"/>
      <x:c r="G103" s="36"/>
      <x:c r="H103" s="45"/>
      <x:c r="I103" s="36"/>
      <x:c r="J103" s="36"/>
    </x:row>
    <x:row r="104" ht="15" hidden="0" customHeight="1">
      <x:c r="A104" s="36"/>
      <x:c r="B104" s="36"/>
      <x:c r="C104" s="36"/>
      <x:c r="D104" s="36"/>
      <x:c r="E104" s="36"/>
      <x:c r="F104" s="36"/>
      <x:c r="G104" s="36"/>
      <x:c r="H104" s="45"/>
      <x:c r="I104" s="36"/>
      <x:c r="J104" s="36"/>
    </x:row>
    <x:row r="105" ht="15" hidden="0" customHeight="1">
      <x:c r="A105" s="36"/>
      <x:c r="B105" s="36"/>
      <x:c r="C105" s="36"/>
      <x:c r="D105" s="36"/>
      <x:c r="E105" s="36"/>
      <x:c r="F105" s="36"/>
      <x:c r="G105" s="36"/>
      <x:c r="H105" s="45"/>
      <x:c r="I105" s="36"/>
      <x:c r="J105" s="36"/>
    </x:row>
    <x:row r="106" ht="15" hidden="0" customHeight="1">
      <x:c r="A106" s="36"/>
      <x:c r="B106" s="36"/>
      <x:c r="C106" s="36"/>
      <x:c r="D106" s="36"/>
      <x:c r="E106" s="36"/>
      <x:c r="F106" s="36"/>
      <x:c r="G106" s="36"/>
      <x:c r="H106" s="45"/>
      <x:c r="I106" s="36"/>
      <x:c r="J106" s="36"/>
    </x:row>
    <x:row r="107" ht="15" hidden="0" customHeight="1">
      <x:c r="A107" s="36"/>
      <x:c r="B107" s="36"/>
      <x:c r="C107" s="36"/>
      <x:c r="D107" s="36"/>
      <x:c r="E107" s="36"/>
      <x:c r="F107" s="36"/>
      <x:c r="G107" s="36"/>
      <x:c r="H107" s="45"/>
      <x:c r="I107" s="36"/>
      <x:c r="J107" s="36"/>
    </x:row>
    <x:row r="108" ht="15" hidden="0" customHeight="1">
      <x:c r="A108" s="36"/>
      <x:c r="B108" s="36"/>
      <x:c r="C108" s="36"/>
      <x:c r="D108" s="36"/>
      <x:c r="E108" s="36"/>
      <x:c r="F108" s="36"/>
      <x:c r="G108" s="36"/>
      <x:c r="H108" s="45"/>
      <x:c r="I108" s="36"/>
      <x:c r="J108" s="36"/>
    </x:row>
    <x:row r="109" ht="15" hidden="0" customHeight="1">
      <x:c r="A109" s="36"/>
      <x:c r="B109" s="36"/>
      <x:c r="C109" s="36"/>
      <x:c r="D109" s="36"/>
      <x:c r="E109" s="36"/>
      <x:c r="F109" s="36"/>
      <x:c r="G109" s="36"/>
      <x:c r="H109" s="45"/>
      <x:c r="I109" s="36"/>
      <x:c r="J109" s="36"/>
    </x:row>
    <x:row r="110" ht="15" hidden="0" customHeight="1">
      <x:c r="A110" s="36"/>
      <x:c r="B110" s="36"/>
      <x:c r="C110" s="36"/>
      <x:c r="D110" s="36"/>
      <x:c r="E110" s="36"/>
      <x:c r="F110" s="36"/>
      <x:c r="G110" s="36"/>
      <x:c r="H110" s="45"/>
      <x:c r="I110" s="36"/>
      <x:c r="J110" s="36"/>
    </x:row>
    <x:row r="111" ht="15" hidden="0" customHeight="1">
      <x:c r="A111" s="36"/>
      <x:c r="B111" s="36"/>
      <x:c r="C111" s="36"/>
      <x:c r="D111" s="36"/>
      <x:c r="E111" s="36"/>
      <x:c r="F111" s="36"/>
      <x:c r="G111" s="36"/>
      <x:c r="H111" s="45"/>
      <x:c r="I111" s="36"/>
      <x:c r="J111" s="36"/>
    </x:row>
    <x:row r="112" ht="15" hidden="0" customHeight="1">
      <x:c r="A112" s="36"/>
      <x:c r="B112" s="36"/>
      <x:c r="C112" s="36"/>
      <x:c r="D112" s="36"/>
      <x:c r="E112" s="36"/>
      <x:c r="F112" s="36"/>
      <x:c r="G112" s="36"/>
      <x:c r="H112" s="45"/>
      <x:c r="I112" s="36"/>
      <x:c r="J112" s="36"/>
    </x:row>
    <x:row r="113" ht="15" hidden="0" customHeight="1">
      <x:c r="A113" s="36"/>
      <x:c r="B113" s="36"/>
      <x:c r="C113" s="36"/>
      <x:c r="D113" s="36"/>
      <x:c r="E113" s="36"/>
      <x:c r="F113" s="36"/>
      <x:c r="G113" s="36"/>
      <x:c r="H113" s="45"/>
      <x:c r="I113" s="36"/>
      <x:c r="J113" s="36"/>
    </x:row>
    <x:row r="114" ht="15" hidden="0" customHeight="1">
      <x:c r="A114" s="36"/>
      <x:c r="B114" s="36"/>
      <x:c r="C114" s="36"/>
      <x:c r="D114" s="36"/>
      <x:c r="E114" s="36"/>
      <x:c r="F114" s="36"/>
      <x:c r="G114" s="36"/>
      <x:c r="H114" s="45"/>
      <x:c r="I114" s="36"/>
      <x:c r="J114" s="36"/>
    </x:row>
    <x:row r="115" ht="15" hidden="0" customHeight="1">
      <x:c r="A115" s="36"/>
      <x:c r="B115" s="36"/>
      <x:c r="C115" s="36"/>
      <x:c r="D115" s="36"/>
      <x:c r="E115" s="36"/>
      <x:c r="F115" s="36"/>
      <x:c r="G115" s="36"/>
      <x:c r="H115" s="45"/>
      <x:c r="I115" s="36"/>
      <x:c r="J115" s="36"/>
    </x:row>
    <x:row r="116" ht="15" hidden="0" customHeight="1">
      <x:c r="A116" s="36"/>
      <x:c r="B116" s="36"/>
      <x:c r="C116" s="36"/>
      <x:c r="D116" s="36"/>
      <x:c r="E116" s="36"/>
      <x:c r="F116" s="36"/>
      <x:c r="G116" s="36"/>
      <x:c r="H116" s="45"/>
      <x:c r="I116" s="36"/>
      <x:c r="J116" s="36"/>
    </x:row>
    <x:row r="117" ht="15" hidden="0" customHeight="1">
      <x:c r="A117" s="36"/>
      <x:c r="B117" s="36"/>
      <x:c r="C117" s="36"/>
      <x:c r="D117" s="36"/>
      <x:c r="E117" s="36"/>
      <x:c r="F117" s="36"/>
      <x:c r="G117" s="36"/>
      <x:c r="H117" s="45"/>
      <x:c r="I117" s="36"/>
      <x:c r="J117" s="36"/>
    </x:row>
    <x:row r="118" ht="15" hidden="0" customHeight="1">
      <x:c r="A118" s="36"/>
      <x:c r="B118" s="36"/>
      <x:c r="C118" s="36"/>
      <x:c r="D118" s="36"/>
      <x:c r="E118" s="36"/>
      <x:c r="F118" s="36"/>
      <x:c r="G118" s="36"/>
      <x:c r="H118" s="45"/>
      <x:c r="I118" s="36"/>
      <x:c r="J118" s="36"/>
    </x:row>
    <x:row r="119" ht="15" hidden="0" customHeight="1">
      <x:c r="A119" s="36"/>
      <x:c r="B119" s="36"/>
      <x:c r="C119" s="36"/>
      <x:c r="D119" s="36"/>
      <x:c r="E119" s="36"/>
      <x:c r="F119" s="36"/>
      <x:c r="G119" s="36"/>
      <x:c r="H119" s="45"/>
      <x:c r="I119" s="36"/>
      <x:c r="J119" s="36"/>
    </x:row>
    <x:row r="120" ht="15" hidden="0" customHeight="1">
      <x:c r="A120" s="36"/>
      <x:c r="B120" s="36"/>
      <x:c r="C120" s="36"/>
      <x:c r="D120" s="36"/>
      <x:c r="E120" s="36"/>
      <x:c r="F120" s="36"/>
      <x:c r="G120" s="36"/>
      <x:c r="H120" s="45"/>
      <x:c r="I120" s="36"/>
      <x:c r="J120" s="36"/>
    </x:row>
    <x:row r="121" ht="15" hidden="0" customHeight="1">
      <x:c r="A121" s="36"/>
      <x:c r="B121" s="36"/>
      <x:c r="C121" s="36"/>
      <x:c r="D121" s="36"/>
      <x:c r="E121" s="36"/>
      <x:c r="F121" s="36"/>
      <x:c r="G121" s="36"/>
      <x:c r="H121" s="45"/>
      <x:c r="I121" s="36"/>
      <x:c r="J121" s="36"/>
    </x:row>
    <x:row r="122" ht="15" hidden="0" customHeight="1">
      <x:c r="A122" s="36"/>
      <x:c r="B122" s="36"/>
      <x:c r="C122" s="36"/>
      <x:c r="D122" s="36"/>
      <x:c r="E122" s="36"/>
      <x:c r="F122" s="36"/>
      <x:c r="G122" s="36"/>
      <x:c r="H122" s="45"/>
      <x:c r="I122" s="36"/>
      <x:c r="J122" s="36"/>
    </x:row>
    <x:row r="123" ht="15" hidden="0" customHeight="1">
      <x:c r="A123" s="36"/>
      <x:c r="B123" s="36"/>
      <x:c r="C123" s="36"/>
      <x:c r="D123" s="36"/>
      <x:c r="E123" s="36"/>
      <x:c r="F123" s="36"/>
      <x:c r="G123" s="36"/>
      <x:c r="H123" s="45"/>
      <x:c r="I123" s="36"/>
      <x:c r="J123" s="36"/>
    </x:row>
    <x:row r="124" ht="15" hidden="0" customHeight="1">
      <x:c r="A124" s="36"/>
      <x:c r="B124" s="36"/>
      <x:c r="C124" s="36"/>
      <x:c r="D124" s="36"/>
      <x:c r="E124" s="36"/>
      <x:c r="F124" s="36"/>
      <x:c r="G124" s="36"/>
      <x:c r="H124" s="45"/>
      <x:c r="I124" s="36"/>
      <x:c r="J124" s="36"/>
    </x:row>
    <x:row r="125" ht="15" hidden="0" customHeight="1">
      <x:c r="A125" s="36"/>
      <x:c r="B125" s="36"/>
      <x:c r="C125" s="36"/>
      <x:c r="D125" s="36"/>
      <x:c r="E125" s="36"/>
      <x:c r="F125" s="36"/>
      <x:c r="G125" s="36"/>
      <x:c r="H125" s="45"/>
      <x:c r="I125" s="36"/>
      <x:c r="J125" s="36"/>
    </x:row>
    <x:row r="126" ht="15" hidden="0" customHeight="1">
      <x:c r="A126" s="36"/>
      <x:c r="B126" s="36"/>
      <x:c r="C126" s="36"/>
      <x:c r="D126" s="36"/>
      <x:c r="E126" s="36"/>
      <x:c r="F126" s="36"/>
      <x:c r="G126" s="36"/>
      <x:c r="H126" s="45"/>
      <x:c r="I126" s="36"/>
      <x:c r="J126" s="36"/>
    </x:row>
    <x:row r="127" ht="15" hidden="0" customHeight="1">
      <x:c r="A127" s="36"/>
      <x:c r="B127" s="36"/>
      <x:c r="C127" s="36"/>
      <x:c r="D127" s="36"/>
      <x:c r="E127" s="36"/>
      <x:c r="F127" s="36"/>
      <x:c r="G127" s="36"/>
      <x:c r="H127" s="45"/>
      <x:c r="I127" s="36"/>
      <x:c r="J127" s="36"/>
    </x:row>
    <x:row r="128" ht="15" hidden="0" customHeight="1">
      <x:c r="A128" s="36"/>
      <x:c r="B128" s="36"/>
      <x:c r="C128" s="36"/>
      <x:c r="D128" s="36"/>
      <x:c r="E128" s="36"/>
      <x:c r="F128" s="36"/>
      <x:c r="G128" s="36"/>
      <x:c r="H128" s="45"/>
      <x:c r="I128" s="36"/>
      <x:c r="J128" s="36"/>
    </x:row>
    <x:row r="129" ht="15" hidden="0" customHeight="1">
      <x:c r="A129" s="36"/>
      <x:c r="B129" s="36"/>
      <x:c r="C129" s="36"/>
      <x:c r="D129" s="36"/>
      <x:c r="E129" s="36"/>
      <x:c r="F129" s="36"/>
      <x:c r="G129" s="36"/>
      <x:c r="H129" s="45"/>
      <x:c r="I129" s="36"/>
      <x:c r="J129" s="36"/>
    </x:row>
    <x:row r="130" ht="15" hidden="0" customHeight="1">
      <x:c r="A130" s="36"/>
      <x:c r="B130" s="36"/>
      <x:c r="C130" s="36"/>
      <x:c r="D130" s="36"/>
      <x:c r="E130" s="36"/>
      <x:c r="F130" s="36"/>
      <x:c r="G130" s="36"/>
      <x:c r="H130" s="45"/>
      <x:c r="I130" s="36"/>
      <x:c r="J130" s="36"/>
    </x:row>
    <x:row r="131" ht="15" hidden="0" customHeight="1">
      <x:c r="A131" s="36"/>
      <x:c r="B131" s="36"/>
      <x:c r="C131" s="36"/>
      <x:c r="D131" s="36"/>
      <x:c r="E131" s="36"/>
      <x:c r="F131" s="36"/>
      <x:c r="G131" s="36"/>
      <x:c r="H131" s="45"/>
      <x:c r="I131" s="36"/>
      <x:c r="J131" s="36"/>
    </x:row>
    <x:row r="132" ht="15" hidden="0" customHeight="1">
      <x:c r="A132" s="36"/>
      <x:c r="B132" s="36"/>
      <x:c r="C132" s="36"/>
      <x:c r="D132" s="36"/>
      <x:c r="E132" s="36"/>
      <x:c r="F132" s="36"/>
      <x:c r="G132" s="36"/>
      <x:c r="H132" s="45"/>
      <x:c r="I132" s="36"/>
      <x:c r="J132" s="36"/>
    </x:row>
    <x:row r="133" ht="15" hidden="0" customHeight="1">
      <x:c r="A133" s="36"/>
      <x:c r="B133" s="36"/>
      <x:c r="C133" s="36"/>
      <x:c r="D133" s="36"/>
      <x:c r="E133" s="36"/>
      <x:c r="F133" s="36"/>
      <x:c r="G133" s="36"/>
      <x:c r="H133" s="45"/>
      <x:c r="I133" s="36"/>
      <x:c r="J133" s="36"/>
    </x:row>
    <x:row r="134" ht="15" hidden="0" customHeight="1">
      <x:c r="A134" s="36"/>
      <x:c r="B134" s="36"/>
      <x:c r="C134" s="36"/>
      <x:c r="D134" s="36"/>
      <x:c r="E134" s="36"/>
      <x:c r="F134" s="36"/>
      <x:c r="G134" s="36"/>
      <x:c r="H134" s="45"/>
      <x:c r="I134" s="36"/>
      <x:c r="J134" s="36"/>
    </x:row>
    <x:row r="135" ht="15" hidden="0" customHeight="1">
      <x:c r="A135" s="36"/>
      <x:c r="B135" s="36"/>
      <x:c r="C135" s="36"/>
      <x:c r="D135" s="36"/>
      <x:c r="E135" s="36"/>
      <x:c r="F135" s="36"/>
      <x:c r="G135" s="36"/>
      <x:c r="H135" s="45"/>
      <x:c r="I135" s="36"/>
      <x:c r="J135" s="36"/>
    </x:row>
    <x:row r="136" ht="15" hidden="0" customHeight="1">
      <x:c r="A136" s="36"/>
      <x:c r="B136" s="36"/>
      <x:c r="C136" s="36"/>
      <x:c r="D136" s="36"/>
      <x:c r="E136" s="36"/>
      <x:c r="F136" s="36"/>
      <x:c r="G136" s="36"/>
      <x:c r="H136" s="45"/>
      <x:c r="I136" s="36"/>
      <x:c r="J136" s="36"/>
    </x:row>
    <x:row r="137" ht="15" hidden="0" customHeight="1">
      <x:c r="A137" s="36"/>
      <x:c r="B137" s="36"/>
      <x:c r="C137" s="36"/>
      <x:c r="D137" s="36"/>
      <x:c r="E137" s="36"/>
      <x:c r="F137" s="36"/>
      <x:c r="G137" s="36"/>
      <x:c r="H137" s="45"/>
      <x:c r="I137" s="36"/>
      <x:c r="J137" s="36"/>
    </x:row>
    <x:row r="138" ht="15" hidden="0" customHeight="1">
      <x:c r="A138" s="36"/>
      <x:c r="B138" s="36"/>
      <x:c r="C138" s="36"/>
      <x:c r="D138" s="36"/>
      <x:c r="E138" s="36"/>
      <x:c r="F138" s="36"/>
      <x:c r="G138" s="36"/>
      <x:c r="H138" s="45"/>
      <x:c r="I138" s="36"/>
      <x:c r="J138" s="36"/>
    </x:row>
    <x:row r="139" ht="15" hidden="0" customHeight="1">
      <x:c r="A139" s="36"/>
      <x:c r="B139" s="36"/>
      <x:c r="C139" s="36"/>
      <x:c r="D139" s="36"/>
      <x:c r="E139" s="36"/>
      <x:c r="F139" s="36"/>
      <x:c r="G139" s="36"/>
      <x:c r="H139" s="45"/>
      <x:c r="I139" s="36"/>
      <x:c r="J139" s="36"/>
    </x:row>
    <x:row r="140" ht="15" hidden="0" customHeight="1">
      <x:c r="A140" s="36"/>
      <x:c r="B140" s="36"/>
      <x:c r="C140" s="36"/>
      <x:c r="D140" s="36"/>
      <x:c r="E140" s="36"/>
      <x:c r="F140" s="36"/>
      <x:c r="G140" s="36"/>
      <x:c r="H140" s="45"/>
      <x:c r="I140" s="36"/>
      <x:c r="J140" s="36"/>
    </x:row>
    <x:row r="141" ht="15" hidden="0" customHeight="1">
      <x:c r="A141" s="36"/>
      <x:c r="B141" s="36"/>
      <x:c r="C141" s="36"/>
      <x:c r="D141" s="36"/>
      <x:c r="E141" s="36"/>
      <x:c r="F141" s="36"/>
      <x:c r="G141" s="36"/>
      <x:c r="H141" s="45"/>
      <x:c r="I141" s="36"/>
      <x:c r="J141" s="36"/>
    </x:row>
    <x:row r="142" ht="15" hidden="0" customHeight="1">
      <x:c r="A142" s="36"/>
      <x:c r="B142" s="36"/>
      <x:c r="C142" s="36"/>
      <x:c r="D142" s="36"/>
      <x:c r="E142" s="36"/>
      <x:c r="F142" s="36"/>
      <x:c r="G142" s="36"/>
      <x:c r="H142" s="45"/>
      <x:c r="I142" s="36"/>
      <x:c r="J142" s="36"/>
    </x:row>
    <x:row r="143" ht="15" hidden="0" customHeight="1">
      <x:c r="A143" s="36"/>
      <x:c r="B143" s="36"/>
      <x:c r="C143" s="36"/>
      <x:c r="D143" s="36"/>
      <x:c r="E143" s="36"/>
      <x:c r="F143" s="36"/>
      <x:c r="G143" s="36"/>
      <x:c r="H143" s="45"/>
      <x:c r="I143" s="36"/>
      <x:c r="J143" s="36"/>
    </x:row>
    <x:row r="144" ht="15" hidden="0" customHeight="1">
      <x:c r="A144" s="36"/>
      <x:c r="B144" s="36"/>
      <x:c r="C144" s="36"/>
      <x:c r="D144" s="36"/>
      <x:c r="E144" s="36"/>
      <x:c r="F144" s="36"/>
      <x:c r="G144" s="36"/>
      <x:c r="H144" s="45"/>
      <x:c r="I144" s="36"/>
      <x:c r="J144" s="36"/>
    </x:row>
    <x:row r="145" ht="15" hidden="0" customHeight="1">
      <x:c r="A145" s="36"/>
      <x:c r="B145" s="36"/>
      <x:c r="C145" s="36"/>
      <x:c r="D145" s="36"/>
      <x:c r="E145" s="36"/>
      <x:c r="F145" s="36"/>
      <x:c r="G145" s="36"/>
      <x:c r="H145" s="45"/>
      <x:c r="I145" s="36"/>
      <x:c r="J145" s="36"/>
    </x:row>
    <x:row r="146" ht="15" hidden="0" customHeight="1">
      <x:c r="A146" s="36"/>
      <x:c r="B146" s="36"/>
      <x:c r="C146" s="36"/>
      <x:c r="D146" s="36"/>
      <x:c r="E146" s="36"/>
      <x:c r="F146" s="36"/>
      <x:c r="G146" s="36"/>
      <x:c r="H146" s="45"/>
      <x:c r="I146" s="36"/>
      <x:c r="J146" s="36"/>
    </x:row>
    <x:row r="147" ht="15" hidden="0" customHeight="1">
      <x:c r="A147" s="36"/>
      <x:c r="B147" s="36"/>
      <x:c r="C147" s="36"/>
      <x:c r="D147" s="36"/>
      <x:c r="E147" s="36"/>
      <x:c r="F147" s="36"/>
      <x:c r="G147" s="36"/>
      <x:c r="H147" s="45"/>
      <x:c r="I147" s="36"/>
      <x:c r="J147" s="36"/>
    </x:row>
    <x:row r="148" ht="15" hidden="0" customHeight="1">
      <x:c r="A148" s="36"/>
      <x:c r="B148" s="36"/>
      <x:c r="C148" s="36"/>
      <x:c r="D148" s="36"/>
      <x:c r="E148" s="36"/>
      <x:c r="F148" s="36"/>
      <x:c r="G148" s="36"/>
      <x:c r="H148" s="45"/>
      <x:c r="I148" s="36"/>
      <x:c r="J148" s="36"/>
    </x:row>
    <x:row r="149" ht="15" hidden="0" customHeight="1">
      <x:c r="A149" s="36"/>
      <x:c r="B149" s="36"/>
      <x:c r="C149" s="36"/>
      <x:c r="D149" s="36"/>
      <x:c r="E149" s="36"/>
      <x:c r="F149" s="36"/>
      <x:c r="G149" s="36"/>
      <x:c r="H149" s="45"/>
      <x:c r="I149" s="36"/>
      <x:c r="J149" s="36"/>
    </x:row>
    <x:row r="150" ht="15" hidden="0" customHeight="1">
      <x:c r="A150" s="36"/>
      <x:c r="B150" s="36"/>
      <x:c r="C150" s="36"/>
      <x:c r="D150" s="36"/>
      <x:c r="E150" s="36"/>
      <x:c r="F150" s="36"/>
      <x:c r="G150" s="36"/>
      <x:c r="H150" s="45"/>
      <x:c r="I150" s="36"/>
      <x:c r="J150" s="36"/>
    </x:row>
    <x:row r="151" ht="15" hidden="0" customHeight="1">
      <x:c r="A151" s="36"/>
      <x:c r="B151" s="36"/>
      <x:c r="C151" s="36"/>
      <x:c r="D151" s="36"/>
      <x:c r="E151" s="36"/>
      <x:c r="F151" s="36"/>
      <x:c r="G151" s="36"/>
      <x:c r="H151" s="45"/>
      <x:c r="I151" s="36"/>
      <x:c r="J151" s="36"/>
    </x:row>
    <x:row r="152" ht="15" hidden="0" customHeight="1">
      <x:c r="A152" s="36"/>
      <x:c r="B152" s="36"/>
      <x:c r="C152" s="36"/>
      <x:c r="D152" s="36"/>
      <x:c r="E152" s="36"/>
      <x:c r="F152" s="36"/>
      <x:c r="G152" s="36"/>
      <x:c r="H152" s="45"/>
      <x:c r="I152" s="36"/>
      <x:c r="J152" s="36"/>
    </x:row>
    <x:row r="153" ht="15" hidden="0" customHeight="1">
      <x:c r="A153" s="36"/>
      <x:c r="B153" s="36"/>
      <x:c r="C153" s="36"/>
      <x:c r="D153" s="36"/>
      <x:c r="E153" s="36"/>
      <x:c r="F153" s="36"/>
      <x:c r="G153" s="36"/>
      <x:c r="H153" s="45"/>
      <x:c r="I153" s="36"/>
      <x:c r="J153" s="36"/>
    </x:row>
    <x:row r="154" ht="15" hidden="0" customHeight="1">
      <x:c r="A154" s="36"/>
      <x:c r="B154" s="36"/>
      <x:c r="C154" s="36"/>
      <x:c r="D154" s="36"/>
      <x:c r="E154" s="36"/>
      <x:c r="F154" s="36"/>
      <x:c r="G154" s="36"/>
      <x:c r="H154" s="45"/>
      <x:c r="I154" s="36"/>
      <x:c r="J154" s="36"/>
    </x:row>
    <x:row r="155" ht="15" hidden="0" customHeight="1">
      <x:c r="A155" s="36"/>
      <x:c r="B155" s="36"/>
      <x:c r="C155" s="36"/>
      <x:c r="D155" s="36"/>
      <x:c r="E155" s="36"/>
      <x:c r="F155" s="36"/>
      <x:c r="G155" s="36"/>
      <x:c r="H155" s="45"/>
      <x:c r="I155" s="36"/>
      <x:c r="J155" s="36"/>
    </x:row>
    <x:row r="156" ht="15" hidden="0" customHeight="1">
      <x:c r="A156" s="36"/>
      <x:c r="B156" s="36"/>
      <x:c r="C156" s="36"/>
      <x:c r="D156" s="36"/>
      <x:c r="E156" s="36"/>
      <x:c r="F156" s="36"/>
      <x:c r="G156" s="36"/>
      <x:c r="H156" s="45"/>
      <x:c r="I156" s="36"/>
      <x:c r="J156" s="36"/>
    </x:row>
    <x:row r="157" ht="15" hidden="0" customHeight="1">
      <x:c r="A157" s="36"/>
      <x:c r="B157" s="36"/>
      <x:c r="C157" s="36"/>
      <x:c r="D157" s="36"/>
      <x:c r="E157" s="36"/>
      <x:c r="F157" s="36"/>
      <x:c r="G157" s="36"/>
      <x:c r="H157" s="45"/>
      <x:c r="I157" s="36"/>
      <x:c r="J157" s="36"/>
    </x:row>
    <x:row r="158" ht="15" hidden="0" customHeight="1">
      <x:c r="A158" s="36"/>
      <x:c r="B158" s="36"/>
      <x:c r="C158" s="36"/>
      <x:c r="D158" s="36"/>
      <x:c r="E158" s="36"/>
      <x:c r="F158" s="36"/>
      <x:c r="G158" s="36"/>
      <x:c r="H158" s="45"/>
      <x:c r="I158" s="36"/>
      <x:c r="J158" s="36"/>
    </x:row>
    <x:row r="159" ht="15" hidden="0" customHeight="1">
      <x:c r="A159" s="36"/>
      <x:c r="B159" s="36"/>
      <x:c r="C159" s="36"/>
      <x:c r="D159" s="36"/>
      <x:c r="E159" s="36"/>
      <x:c r="F159" s="36"/>
      <x:c r="G159" s="36"/>
      <x:c r="H159" s="45"/>
      <x:c r="I159" s="36"/>
      <x:c r="J159" s="36"/>
    </x:row>
    <x:row r="160" ht="15" hidden="0" customHeight="1">
      <x:c r="A160" s="36"/>
      <x:c r="B160" s="36"/>
      <x:c r="C160" s="36"/>
      <x:c r="D160" s="36"/>
      <x:c r="E160" s="36"/>
      <x:c r="F160" s="36"/>
      <x:c r="G160" s="36"/>
      <x:c r="H160" s="45"/>
      <x:c r="I160" s="36"/>
      <x:c r="J160" s="36"/>
    </x:row>
    <x:row r="161" ht="15" hidden="0" customHeight="1">
      <x:c r="A161" s="36"/>
      <x:c r="B161" s="36"/>
      <x:c r="C161" s="36"/>
      <x:c r="D161" s="36"/>
      <x:c r="E161" s="36"/>
      <x:c r="F161" s="36"/>
      <x:c r="G161" s="36"/>
      <x:c r="H161" s="45"/>
      <x:c r="I161" s="36"/>
      <x:c r="J161" s="36"/>
    </x:row>
    <x:row r="162" ht="15" hidden="0" customHeight="1">
      <x:c r="A162" s="36"/>
      <x:c r="B162" s="36"/>
      <x:c r="C162" s="36"/>
      <x:c r="D162" s="36"/>
      <x:c r="E162" s="36"/>
      <x:c r="F162" s="36"/>
      <x:c r="G162" s="36"/>
      <x:c r="H162" s="45"/>
      <x:c r="I162" s="36"/>
      <x:c r="J162" s="36"/>
    </x:row>
    <x:row r="163" ht="15" hidden="0" customHeight="1">
      <x:c r="A163" s="36"/>
      <x:c r="B163" s="36"/>
      <x:c r="C163" s="36"/>
      <x:c r="D163" s="36"/>
      <x:c r="E163" s="36"/>
      <x:c r="F163" s="36"/>
      <x:c r="G163" s="36"/>
      <x:c r="H163" s="45"/>
      <x:c r="I163" s="36"/>
      <x:c r="J163" s="36"/>
    </x:row>
    <x:row r="164" ht="15" hidden="0" customHeight="1">
      <x:c r="A164" s="36"/>
      <x:c r="B164" s="36"/>
      <x:c r="C164" s="36"/>
      <x:c r="D164" s="36"/>
      <x:c r="E164" s="36"/>
      <x:c r="F164" s="36"/>
      <x:c r="G164" s="36"/>
      <x:c r="H164" s="45"/>
      <x:c r="I164" s="36"/>
      <x:c r="J164" s="36"/>
    </x:row>
    <x:row r="165" ht="15" hidden="0" customHeight="1">
      <x:c r="A165" s="36"/>
      <x:c r="B165" s="36"/>
      <x:c r="C165" s="36"/>
      <x:c r="D165" s="36"/>
      <x:c r="E165" s="36"/>
      <x:c r="F165" s="36"/>
      <x:c r="G165" s="36"/>
      <x:c r="H165" s="45"/>
      <x:c r="I165" s="36"/>
      <x:c r="J165" s="36"/>
    </x:row>
    <x:row r="166" ht="15" hidden="0" customHeight="1">
      <x:c r="A166" s="36"/>
      <x:c r="B166" s="36"/>
      <x:c r="C166" s="36"/>
      <x:c r="D166" s="36"/>
      <x:c r="E166" s="36"/>
      <x:c r="F166" s="36"/>
      <x:c r="G166" s="36"/>
      <x:c r="H166" s="45"/>
      <x:c r="I166" s="36"/>
      <x:c r="J166" s="36"/>
    </x:row>
    <x:row r="167" ht="15" hidden="0" customHeight="1">
      <x:c r="A167" s="36"/>
      <x:c r="B167" s="36"/>
      <x:c r="C167" s="36"/>
      <x:c r="D167" s="36"/>
      <x:c r="E167" s="36"/>
      <x:c r="F167" s="36"/>
      <x:c r="G167" s="36"/>
      <x:c r="H167" s="45"/>
      <x:c r="I167" s="36"/>
      <x:c r="J167" s="36"/>
    </x:row>
    <x:row r="168" ht="15" hidden="0" customHeight="1">
      <x:c r="A168" s="36"/>
      <x:c r="B168" s="36"/>
      <x:c r="C168" s="36"/>
      <x:c r="D168" s="36"/>
      <x:c r="E168" s="36"/>
      <x:c r="F168" s="36"/>
      <x:c r="G168" s="36"/>
      <x:c r="H168" s="45"/>
      <x:c r="I168" s="36"/>
      <x:c r="J168" s="36"/>
    </x:row>
    <x:row r="169" ht="15" hidden="0" customHeight="1">
      <x:c r="A169" s="36"/>
      <x:c r="B169" s="36"/>
      <x:c r="C169" s="36"/>
      <x:c r="D169" s="36"/>
      <x:c r="E169" s="36"/>
      <x:c r="F169" s="36"/>
      <x:c r="G169" s="36"/>
      <x:c r="H169" s="45"/>
      <x:c r="I169" s="36"/>
      <x:c r="J169" s="36"/>
    </x:row>
    <x:row r="170" ht="15" hidden="0" customHeight="1">
      <x:c r="A170" s="36"/>
      <x:c r="B170" s="36"/>
      <x:c r="C170" s="36"/>
      <x:c r="D170" s="36"/>
      <x:c r="E170" s="36"/>
      <x:c r="F170" s="36"/>
      <x:c r="G170" s="36"/>
      <x:c r="H170" s="45"/>
      <x:c r="I170" s="36"/>
      <x:c r="J170" s="36"/>
    </x:row>
    <x:row r="171" ht="15" hidden="0" customHeight="1">
      <x:c r="A171" s="36"/>
      <x:c r="B171" s="36"/>
      <x:c r="C171" s="36"/>
      <x:c r="D171" s="36"/>
      <x:c r="E171" s="36"/>
      <x:c r="F171" s="36"/>
      <x:c r="G171" s="36"/>
      <x:c r="H171" s="45"/>
      <x:c r="I171" s="36"/>
      <x:c r="J171" s="36"/>
    </x:row>
    <x:row r="172" ht="15" hidden="0" customHeight="1">
      <x:c r="A172" s="36"/>
      <x:c r="B172" s="36"/>
      <x:c r="C172" s="36"/>
      <x:c r="D172" s="36"/>
      <x:c r="E172" s="36"/>
      <x:c r="F172" s="36"/>
      <x:c r="G172" s="36"/>
      <x:c r="H172" s="45"/>
      <x:c r="I172" s="36"/>
      <x:c r="J172" s="36"/>
    </x:row>
    <x:row r="173" ht="15" hidden="0" customHeight="1">
      <x:c r="A173" s="36"/>
      <x:c r="B173" s="36"/>
      <x:c r="C173" s="36"/>
      <x:c r="D173" s="36"/>
      <x:c r="E173" s="36"/>
      <x:c r="F173" s="36"/>
      <x:c r="G173" s="36"/>
      <x:c r="H173" s="45"/>
      <x:c r="I173" s="36"/>
      <x:c r="J173" s="36"/>
    </x:row>
    <x:row r="174" ht="15" hidden="0" customHeight="1">
      <x:c r="A174" s="36"/>
      <x:c r="B174" s="36"/>
      <x:c r="C174" s="36"/>
      <x:c r="D174" s="36"/>
      <x:c r="E174" s="36"/>
      <x:c r="F174" s="36"/>
      <x:c r="G174" s="36"/>
      <x:c r="H174" s="45"/>
      <x:c r="I174" s="36"/>
      <x:c r="J174" s="36"/>
    </x:row>
    <x:row r="175" ht="15" hidden="0" customHeight="1">
      <x:c r="A175" s="36"/>
      <x:c r="B175" s="36"/>
      <x:c r="C175" s="36"/>
      <x:c r="D175" s="36"/>
      <x:c r="E175" s="36"/>
      <x:c r="F175" s="36"/>
      <x:c r="G175" s="36"/>
      <x:c r="H175" s="45"/>
      <x:c r="I175" s="36"/>
      <x:c r="J175" s="36"/>
    </x:row>
    <x:row r="176" ht="15" hidden="0" customHeight="1">
      <x:c r="A176" s="36"/>
      <x:c r="B176" s="36"/>
      <x:c r="C176" s="36"/>
      <x:c r="D176" s="36"/>
      <x:c r="E176" s="36"/>
      <x:c r="F176" s="36"/>
      <x:c r="G176" s="36"/>
      <x:c r="H176" s="45"/>
      <x:c r="I176" s="36"/>
      <x:c r="J176" s="36"/>
    </x:row>
    <x:row r="177" ht="15" hidden="0" customHeight="1">
      <x:c r="A177" s="36"/>
      <x:c r="B177" s="36"/>
      <x:c r="C177" s="36"/>
      <x:c r="D177" s="36"/>
      <x:c r="E177" s="36"/>
      <x:c r="F177" s="36"/>
      <x:c r="G177" s="36"/>
      <x:c r="H177" s="45"/>
      <x:c r="I177" s="36"/>
      <x:c r="J177" s="36"/>
    </x:row>
    <x:row r="178" ht="15" hidden="0" customHeight="1">
      <x:c r="A178" s="36"/>
      <x:c r="B178" s="36"/>
      <x:c r="C178" s="36"/>
      <x:c r="D178" s="36"/>
      <x:c r="E178" s="36"/>
      <x:c r="F178" s="36"/>
      <x:c r="G178" s="36"/>
      <x:c r="H178" s="45"/>
      <x:c r="I178" s="36"/>
      <x:c r="J178" s="36"/>
    </x:row>
    <x:row r="179" ht="15" hidden="0" customHeight="1">
      <x:c r="A179" s="36"/>
      <x:c r="B179" s="36"/>
      <x:c r="C179" s="36"/>
      <x:c r="D179" s="36"/>
      <x:c r="E179" s="36"/>
      <x:c r="F179" s="36"/>
      <x:c r="G179" s="36"/>
      <x:c r="H179" s="45"/>
      <x:c r="I179" s="36"/>
      <x:c r="J179" s="36"/>
    </x:row>
    <x:row r="180" ht="15" hidden="0" customHeight="1">
      <x:c r="A180" s="36"/>
      <x:c r="B180" s="36"/>
      <x:c r="C180" s="36"/>
      <x:c r="D180" s="36"/>
      <x:c r="E180" s="36"/>
      <x:c r="F180" s="36"/>
      <x:c r="G180" s="36"/>
      <x:c r="H180" s="45"/>
      <x:c r="I180" s="36"/>
      <x:c r="J180" s="36"/>
    </x:row>
    <x:row r="181" ht="15" hidden="0" customHeight="1">
      <x:c r="A181" s="36"/>
      <x:c r="B181" s="36"/>
      <x:c r="C181" s="36"/>
      <x:c r="D181" s="36"/>
      <x:c r="E181" s="36"/>
      <x:c r="F181" s="36"/>
      <x:c r="G181" s="36"/>
      <x:c r="H181" s="45"/>
      <x:c r="I181" s="36"/>
      <x:c r="J181" s="36"/>
    </x:row>
    <x:row r="182" ht="15" hidden="0" customHeight="1">
      <x:c r="A182" s="36"/>
      <x:c r="B182" s="36"/>
      <x:c r="C182" s="36"/>
      <x:c r="D182" s="36"/>
      <x:c r="E182" s="36"/>
      <x:c r="F182" s="36"/>
      <x:c r="G182" s="36"/>
      <x:c r="H182" s="45"/>
      <x:c r="I182" s="36"/>
      <x:c r="J182" s="36"/>
    </x:row>
    <x:row r="183" ht="15" hidden="0" customHeight="1">
      <x:c r="A183" s="36"/>
      <x:c r="B183" s="36"/>
      <x:c r="C183" s="36"/>
      <x:c r="D183" s="36"/>
      <x:c r="E183" s="36"/>
      <x:c r="F183" s="36"/>
      <x:c r="G183" s="36"/>
      <x:c r="H183" s="45"/>
      <x:c r="I183" s="36"/>
      <x:c r="J183" s="36"/>
    </x:row>
    <x:row r="184" ht="15" hidden="0" customHeight="1">
      <x:c r="A184" s="36"/>
      <x:c r="B184" s="36"/>
      <x:c r="C184" s="36"/>
      <x:c r="D184" s="36"/>
      <x:c r="E184" s="36"/>
      <x:c r="F184" s="36"/>
      <x:c r="G184" s="36"/>
      <x:c r="H184" s="45"/>
      <x:c r="I184" s="36"/>
      <x:c r="J184" s="36"/>
    </x:row>
    <x:row r="185" ht="15" hidden="0" customHeight="1">
      <x:c r="A185" s="36"/>
      <x:c r="B185" s="36"/>
      <x:c r="C185" s="36"/>
      <x:c r="D185" s="36"/>
      <x:c r="E185" s="36"/>
      <x:c r="F185" s="36"/>
      <x:c r="G185" s="36"/>
      <x:c r="H185" s="45"/>
      <x:c r="I185" s="36"/>
      <x:c r="J185" s="36"/>
    </x:row>
    <x:row r="186" ht="15" hidden="0" customHeight="1">
      <x:c r="A186" s="36"/>
      <x:c r="B186" s="36"/>
      <x:c r="C186" s="36"/>
      <x:c r="D186" s="36"/>
      <x:c r="E186" s="36"/>
      <x:c r="F186" s="36"/>
      <x:c r="G186" s="36"/>
      <x:c r="H186" s="45"/>
      <x:c r="I186" s="36"/>
      <x:c r="J186" s="36"/>
    </x:row>
    <x:row r="187" ht="15" hidden="0" customHeight="1">
      <x:c r="A187" s="36"/>
      <x:c r="B187" s="36"/>
      <x:c r="C187" s="36"/>
      <x:c r="D187" s="36"/>
      <x:c r="E187" s="36"/>
      <x:c r="F187" s="36"/>
      <x:c r="G187" s="36"/>
      <x:c r="H187" s="45"/>
      <x:c r="I187" s="36"/>
      <x:c r="J187" s="36"/>
    </x:row>
    <x:row r="188" ht="15" hidden="0" customHeight="1">
      <x:c r="A188" s="36"/>
      <x:c r="B188" s="36"/>
      <x:c r="C188" s="36"/>
      <x:c r="D188" s="36"/>
      <x:c r="E188" s="36"/>
      <x:c r="F188" s="36"/>
      <x:c r="G188" s="36"/>
      <x:c r="H188" s="45"/>
      <x:c r="I188" s="36"/>
      <x:c r="J188" s="36"/>
    </x:row>
    <x:row r="189" ht="15" hidden="0" customHeight="1">
      <x:c r="A189" s="36"/>
      <x:c r="B189" s="36"/>
      <x:c r="C189" s="36"/>
      <x:c r="D189" s="36"/>
      <x:c r="E189" s="36"/>
      <x:c r="F189" s="36"/>
      <x:c r="G189" s="36"/>
      <x:c r="H189" s="45"/>
      <x:c r="I189" s="36"/>
      <x:c r="J189" s="36"/>
    </x:row>
    <x:row r="190" ht="15" hidden="0" customHeight="1">
      <x:c r="A190" s="36"/>
      <x:c r="B190" s="36"/>
      <x:c r="C190" s="36"/>
      <x:c r="D190" s="36"/>
      <x:c r="E190" s="36"/>
      <x:c r="F190" s="36"/>
      <x:c r="G190" s="36"/>
      <x:c r="H190" s="45"/>
      <x:c r="I190" s="36"/>
      <x:c r="J190" s="36"/>
    </x:row>
    <x:row r="191" ht="15" hidden="0" customHeight="1">
      <x:c r="A191" s="36"/>
      <x:c r="B191" s="36"/>
      <x:c r="C191" s="36"/>
      <x:c r="D191" s="36"/>
      <x:c r="E191" s="36"/>
      <x:c r="F191" s="36"/>
      <x:c r="G191" s="36"/>
      <x:c r="H191" s="45"/>
      <x:c r="I191" s="36"/>
      <x:c r="J191" s="36"/>
    </x:row>
    <x:row r="192" ht="15" hidden="0" customHeight="1">
      <x:c r="A192" s="36"/>
      <x:c r="B192" s="36"/>
      <x:c r="C192" s="36"/>
      <x:c r="D192" s="36"/>
      <x:c r="E192" s="36"/>
      <x:c r="F192" s="36"/>
      <x:c r="G192" s="36"/>
      <x:c r="H192" s="45"/>
      <x:c r="I192" s="36"/>
      <x:c r="J192" s="36"/>
    </x:row>
    <x:row r="193" ht="15" hidden="0" customHeight="1">
      <x:c r="A193" s="36"/>
      <x:c r="B193" s="36"/>
      <x:c r="C193" s="36"/>
      <x:c r="D193" s="36"/>
      <x:c r="E193" s="36"/>
      <x:c r="F193" s="36"/>
      <x:c r="G193" s="36"/>
      <x:c r="H193" s="45"/>
      <x:c r="I193" s="36"/>
      <x:c r="J193" s="36"/>
    </x:row>
    <x:row r="194" ht="15" hidden="0" customHeight="1">
      <x:c r="A194" s="36"/>
      <x:c r="B194" s="36"/>
      <x:c r="C194" s="36"/>
      <x:c r="D194" s="36"/>
      <x:c r="E194" s="36"/>
      <x:c r="F194" s="36"/>
      <x:c r="G194" s="36"/>
      <x:c r="H194" s="45"/>
      <x:c r="I194" s="36"/>
      <x:c r="J194" s="36"/>
    </x:row>
    <x:row r="195" ht="15" hidden="0" customHeight="1">
      <x:c r="A195" s="36"/>
      <x:c r="B195" s="36"/>
      <x:c r="C195" s="36"/>
      <x:c r="D195" s="36"/>
      <x:c r="E195" s="36"/>
      <x:c r="F195" s="36"/>
      <x:c r="G195" s="36"/>
      <x:c r="H195" s="45"/>
      <x:c r="I195" s="36"/>
      <x:c r="J195" s="36"/>
    </x:row>
    <x:row r="196" ht="15" hidden="0" customHeight="1">
      <x:c r="A196" s="36"/>
      <x:c r="B196" s="36"/>
      <x:c r="C196" s="36"/>
      <x:c r="D196" s="36"/>
      <x:c r="E196" s="36"/>
      <x:c r="F196" s="36"/>
      <x:c r="G196" s="36"/>
      <x:c r="H196" s="45"/>
      <x:c r="I196" s="36"/>
      <x:c r="J196" s="36"/>
    </x:row>
    <x:row r="197" ht="15" hidden="0" customHeight="1">
      <x:c r="A197" s="36"/>
      <x:c r="B197" s="36"/>
      <x:c r="C197" s="36"/>
      <x:c r="D197" s="36"/>
      <x:c r="E197" s="36"/>
      <x:c r="F197" s="36"/>
      <x:c r="G197" s="36"/>
      <x:c r="H197" s="45"/>
      <x:c r="I197" s="36"/>
      <x:c r="J197" s="36"/>
    </x:row>
    <x:row r="198" ht="15" hidden="0" customHeight="1">
      <x:c r="A198" s="36"/>
      <x:c r="B198" s="36"/>
      <x:c r="C198" s="36"/>
      <x:c r="D198" s="36"/>
      <x:c r="E198" s="36"/>
      <x:c r="F198" s="36"/>
      <x:c r="G198" s="36"/>
      <x:c r="H198" s="45"/>
      <x:c r="I198" s="36"/>
      <x:c r="J198" s="36"/>
    </x:row>
    <x:row r="199" ht="15" hidden="0" customHeight="1">
      <x:c r="A199" s="36"/>
      <x:c r="B199" s="36"/>
      <x:c r="C199" s="36"/>
      <x:c r="D199" s="36"/>
      <x:c r="E199" s="36"/>
      <x:c r="F199" s="36"/>
      <x:c r="G199" s="36"/>
      <x:c r="H199" s="45"/>
      <x:c r="I199" s="36"/>
      <x:c r="J199" s="36"/>
    </x:row>
    <x:row r="200" ht="15" hidden="0" customHeight="1">
      <x:c r="A200" s="36"/>
      <x:c r="B200" s="36"/>
      <x:c r="C200" s="36"/>
      <x:c r="D200" s="36"/>
      <x:c r="E200" s="36"/>
      <x:c r="F200" s="36"/>
      <x:c r="G200" s="36"/>
      <x:c r="H200" s="45"/>
      <x:c r="I200" s="36"/>
      <x:c r="J200" s="36"/>
    </x:row>
    <x:row r="201" ht="15" hidden="0" customHeight="1">
      <x:c r="A201" s="36"/>
      <x:c r="B201" s="36"/>
      <x:c r="C201" s="36"/>
      <x:c r="D201" s="36"/>
      <x:c r="E201" s="36"/>
      <x:c r="F201" s="36"/>
      <x:c r="G201" s="36"/>
      <x:c r="H201" s="45"/>
      <x:c r="I201" s="36"/>
      <x:c r="J201" s="36"/>
    </x:row>
    <x:row r="202" ht="15" hidden="0" customHeight="1">
      <x:c r="A202" s="36"/>
      <x:c r="B202" s="36"/>
      <x:c r="C202" s="36"/>
      <x:c r="D202" s="36"/>
      <x:c r="E202" s="36"/>
      <x:c r="F202" s="36"/>
      <x:c r="G202" s="36"/>
      <x:c r="H202" s="45"/>
      <x:c r="I202" s="36"/>
      <x:c r="J202" s="36"/>
    </x:row>
    <x:row r="203" ht="15" hidden="0" customHeight="1">
      <x:c r="A203" s="36"/>
      <x:c r="B203" s="36"/>
      <x:c r="C203" s="36"/>
      <x:c r="D203" s="36"/>
      <x:c r="E203" s="36"/>
      <x:c r="F203" s="36"/>
      <x:c r="G203" s="36"/>
      <x:c r="H203" s="45"/>
      <x:c r="I203" s="36"/>
      <x:c r="J203" s="36"/>
    </x:row>
    <x:row r="204" ht="15" hidden="0" customHeight="1">
      <x:c r="A204" s="36"/>
      <x:c r="B204" s="36"/>
      <x:c r="C204" s="36"/>
      <x:c r="D204" s="36"/>
      <x:c r="E204" s="36"/>
      <x:c r="F204" s="36"/>
      <x:c r="G204" s="36"/>
      <x:c r="H204" s="45"/>
      <x:c r="I204" s="36"/>
      <x:c r="J204" s="36"/>
    </x:row>
  </x:sheetData>
  <x:mergeCells>
    <x:mergeCell ref="A1:J1"/>
  </x:mergeCells>
  <x:conditionalFormatting sqref="I4:I204">
    <x:cfRule type="containsText" dxfId="4" priority="1" operator="containsText" text="Open"/>
    <x:cfRule type="containsText" dxfId="5" priority="2" operator="containsText" text="Closed"/>
  </x:conditionalFormatting>
  <x:dataValidations count="1">
    <x:dataValidation type="list" sqref="I4:I204">
      <x:formula1>"Open,In Progress,Closed,Overdue,Cancelled"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112d355bca40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18" hidden="0" customWidth="1"/>
    <x:col min="5" max="5" width="30" hidden="0" customWidth="1"/>
    <x:col min="6" max="6" width="18" hidden="0" customWidth="1"/>
  </x:cols>
  <x:sheetData>
    <x:row r="1" ht="15" hidden="0" customHeight="1">
      <x:c r="A1" s="33" t="str">
        <x:v>Cold Chain Control Summary</x:v>
      </x:c>
      <x:c r="B1" s="33"/>
      <x:c r="C1" s="33"/>
      <x:c r="D1" s="33"/>
      <x:c r="E1" s="33"/>
      <x:c r="F1" s="33"/>
    </x:row>
    <x:row r="2" ht="15" hidden="0" customHeight="1">
      <x:c r="A2" s="34"/>
      <x:c r="B2" s="34"/>
      <x:c r="C2" s="34"/>
      <x:c r="D2" s="34"/>
      <x:c r="E2" s="34"/>
      <x:c r="F2" s="34"/>
    </x:row>
    <x:row r="3" ht="15" hidden="0" customHeight="1">
      <x:c r="A3" s="35" t="str">
        <x:v>Total Records</x:v>
      </x:c>
      <x:c r="B3" s="47" t="n">
        <x:f>COUNTA('Cold Chain Register'!$A$5:$A$204)</x:f>
        <x:v>8</x:v>
      </x:c>
      <x:c r="C3" s="35" t="str">
        <x:v>Out-of-Range Records</x:v>
      </x:c>
      <x:c r="D3" s="47" t="n">
        <x:f>COUNTIF('Cold Chain Register'!$J$5:$J$204,"Out of Range")</x:f>
        <x:v>1</x:v>
      </x:c>
      <x:c r="E3" s="35" t="str">
        <x:v>Open Corrective Actions</x:v>
      </x:c>
      <x:c r="F3" s="47" t="n">
        <x:f>COUNTIF('Corrective Actions'!$I$4:$I$204,"Open")</x:f>
        <x:v>2</x:v>
      </x:c>
    </x:row>
    <x:row r="4" ht="15" hidden="0" customHeight="1">
      <x:c r="A4" s="35" t="str">
        <x:v>Within-Range Records</x:v>
      </x:c>
      <x:c r="B4" s="47" t="n">
        <x:f>COUNTIF('Cold Chain Register'!$J$5:$J$204,"Within Range")</x:f>
        <x:v>2</x:v>
      </x:c>
      <x:c r="C4" s="35" t="str">
        <x:v>On-Hold Product Decisions</x:v>
      </x:c>
      <x:c r="D4" s="47" t="n">
        <x:f>COUNTIF('Cold Chain Register'!$P$5:$P$204,"On Hold")</x:f>
        <x:v>2</x:v>
      </x:c>
      <x:c r="E4" s="35" t="str">
        <x:v>Rejected Product Decisions</x:v>
      </x:c>
      <x:c r="F4" s="47" t="n">
        <x:f>COUNTIF('Cold Chain Register'!$P$5:$P$204,"Rejected")</x:f>
        <x:v>0</x:v>
      </x:c>
    </x:row>
    <x:row r="5" ht="15" hidden="0" customHeight="1">
      <x:c r="A5" s="35" t="str">
        <x:v>Pending QA Assessment</x:v>
      </x:c>
      <x:c r="B5" s="47" t="n">
        <x:f>COUNTIF('Cold Chain Register'!$P$5:$P$204,"Pending QA Assessment")</x:f>
        <x:v>0</x:v>
      </x:c>
      <x:c r="C5" s="35" t="str">
        <x:v>Pending Verifications</x:v>
      </x:c>
      <x:c r="D5" s="47" t="n">
        <x:f>COUNTIF('Cold Chain Register'!$O$5:$O$204,"Pending Verification")</x:f>
        <x:v>2</x:v>
      </x:c>
      <x:c r="E5" s="35" t="str">
        <x:v>Released Decisions</x:v>
      </x:c>
      <x:c r="F5" s="47" t="n">
        <x:f>COUNTIF('Cold Chain Register'!$P$5:$P$204,"Released")</x:f>
        <x:v>6</x:v>
      </x:c>
    </x:row>
    <x:row r="6" ht="15" hidden="0" customHeight="1">
      <x:c r="A6" s="34"/>
      <x:c r="B6" s="34"/>
      <x:c r="C6" s="34"/>
      <x:c r="D6" s="34"/>
      <x:c r="E6" s="34"/>
      <x:c r="F6" s="34"/>
    </x:row>
    <x:row r="7" ht="15" hidden="0" customHeight="1">
      <x:c r="A7" s="34"/>
      <x:c r="B7" s="34"/>
      <x:c r="C7" s="34"/>
      <x:c r="D7" s="34"/>
      <x:c r="E7" s="34"/>
      <x:c r="F7" s="34"/>
    </x:row>
    <x:row r="8" ht="15" hidden="0" customHeight="1">
      <x:c r="A8" s="37" t="str">
        <x:v>Review Notes</x:v>
      </x:c>
      <x:c r="B8" s="37"/>
      <x:c r="C8" s="37"/>
      <x:c r="D8" s="37"/>
      <x:c r="E8" s="37"/>
      <x:c r="F8" s="37"/>
    </x:row>
    <x:row r="9">
      <x:c r="A9" s="36" t="str">
        <x:v>Use the summary to identify deviations, unresolved corrective actions, pending QA decisions, and trends that require management attention. For audit readiness, ensure that every out-of-range reading has a linked corrective action or documented QA rationale.</x:v>
      </x:c>
      <x:c r="B9" s="36"/>
      <x:c r="C9" s="36"/>
      <x:c r="D9" s="36"/>
      <x:c r="E9" s="36"/>
      <x:c r="F9" s="36"/>
    </x:row>
    <x:row r="10">
      <x:c r="A10" s="36"/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</x:sheetData>
  <x:mergeCells>
    <x:mergeCell ref="A1:F1"/>
    <x:mergeCell ref="A8:F8"/>
    <x:mergeCell ref="A9:F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15" hidden="0" customHeight="1">
      <x:c r="A1" s="33" t="str">
        <x:v>Instructions for Use</x:v>
      </x:c>
      <x:c r="B1" s="33"/>
    </x:row>
    <x:row r="2" ht="15" hidden="0" customHeight="1">
      <x:c r="A2" s="34"/>
      <x:c r="B2" s="34"/>
    </x:row>
    <x:row r="3" ht="24" hidden="0" customHeight="1">
      <x:c r="A3" s="35" t="str">
        <x:v>Step 1</x:v>
      </x:c>
      <x:c r="B3" s="36" t="str">
        <x:v>Record each monitoring point in the Cold Chain Register with date, shift, area, product or batch, storage unit, required temperature range, and actual reading.</x:v>
      </x:c>
    </x:row>
    <x:row r="4" ht="15" hidden="0" customHeight="1">
      <x:c r="A4" s="35" t="str">
        <x:v>Step 2</x:v>
      </x:c>
      <x:c r="B4" s="36" t="str">
        <x:v>The workbook automatically calculates whether the reading is within range and whether action is required.</x:v>
      </x:c>
    </x:row>
    <x:row r="5" ht="15" hidden="0" customHeight="1">
      <x:c r="A5" s="35" t="str">
        <x:v>Step 3</x:v>
      </x:c>
      <x:c r="B5" s="36" t="str">
        <x:v>If a reading is out of range, place affected product or area under control and notify QA according to BSF procedures.</x:v>
      </x:c>
    </x:row>
    <x:row r="6" ht="15" hidden="0" customHeight="1">
      <x:c r="A6" s="35" t="str">
        <x:v>Step 4</x:v>
      </x:c>
      <x:c r="B6" s="36" t="str">
        <x:v>Create or reference a corrective action in the Corrective Actions sheet when required.</x:v>
      </x:c>
    </x:row>
    <x:row r="7" ht="15" hidden="0" customHeight="1">
      <x:c r="A7" s="35" t="str">
        <x:v>Step 5</x:v>
      </x:c>
      <x:c r="B7" s="36" t="str">
        <x:v>QA release status shall remain On Hold or Pending QA Assessment until disposition is confirmed.</x:v>
      </x:c>
    </x:row>
    <x:row r="8" ht="15" hidden="0" customHeight="1">
      <x:c r="A8" s="35" t="str">
        <x:v>Step 6</x:v>
      </x:c>
      <x:c r="B8" s="36" t="str">
        <x:v>Use the Summary sheet to review open deviations, pending verifications, and release status before audits or management review.</x:v>
      </x:c>
    </x:row>
    <x:row r="9" ht="15" hidden="0" customHeight="1">
      <x:c r="A9" s="35" t="str">
        <x:v>Confidentiality</x:v>
      </x:c>
      <x:c r="B9" s="36" t="str">
        <x:v>This workbook is Internal Use Only and may include product, batch, operational, customer, and corrective action information.</x:v>
      </x:c>
    </x:row>
  </x:sheetData>
  <x:mergeCells>
    <x:mergeCell ref="A1:B1"/>
  </x:mergeCells>
  <x:pageMargins left="0.7" right="0.7" top="0.75" bottom="0.75" header="0.3" footer="0.3"/>
</x:worksheet>
</file>